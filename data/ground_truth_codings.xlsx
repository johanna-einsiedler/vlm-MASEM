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hroeders\Dropbox\Uni\Artikel\2020-12 Schroeders Kubera Gnambs MASEM TAS-20\03_Daten\"/>
    </mc:Choice>
  </mc:AlternateContent>
  <bookViews>
    <workbookView xWindow="-120" yWindow="-120" windowWidth="14505" windowHeight="11160" activeTab="1"/>
  </bookViews>
  <sheets>
    <sheet name="Description" sheetId="1" r:id="rId1"/>
    <sheet name="Factor Loadings" sheetId="9" r:id="rId2"/>
    <sheet name="Correlations" sheetId="7" r:id="rId3"/>
  </sheets>
  <definedNames>
    <definedName name="_xlnm._FilterDatabase" localSheetId="1" hidden="1">'Factor Loadings'!$A$1:$Q$86</definedName>
  </definedNames>
  <calcPr calcId="162913" calcMode="manual"/>
</workbook>
</file>

<file path=xl/calcChain.xml><?xml version="1.0" encoding="utf-8"?>
<calcChain xmlns="http://schemas.openxmlformats.org/spreadsheetml/2006/main">
  <c r="J19" i="9" l="1"/>
  <c r="J18" i="9"/>
  <c r="J12" i="9"/>
  <c r="J35" i="9"/>
  <c r="J34" i="9"/>
  <c r="K33" i="9"/>
  <c r="J33" i="9"/>
  <c r="J4" i="7"/>
  <c r="J84" i="9"/>
  <c r="K21" i="9"/>
  <c r="J21" i="9"/>
  <c r="J79" i="9"/>
  <c r="J23" i="9"/>
  <c r="J45" i="9"/>
  <c r="K40" i="9"/>
  <c r="J40" i="9"/>
  <c r="I40" i="9"/>
  <c r="J48" i="9"/>
  <c r="J66" i="9"/>
  <c r="J15" i="9"/>
  <c r="J42" i="9"/>
  <c r="J4" i="9"/>
  <c r="K4" i="9" s="1"/>
  <c r="J2" i="9"/>
  <c r="K2" i="9"/>
  <c r="J3" i="9"/>
  <c r="K3" i="9" s="1"/>
  <c r="I71" i="9"/>
  <c r="J22" i="9"/>
  <c r="J20" i="9"/>
  <c r="K11" i="9"/>
  <c r="J11" i="9"/>
  <c r="J28" i="9"/>
  <c r="J27" i="9"/>
  <c r="J14" i="9"/>
  <c r="J10" i="9"/>
  <c r="J9" i="9"/>
  <c r="J55" i="9"/>
  <c r="I55" i="9"/>
  <c r="J54" i="9"/>
  <c r="J53" i="9"/>
  <c r="J47" i="9"/>
  <c r="J46" i="9"/>
  <c r="I73" i="9"/>
  <c r="J73" i="9"/>
  <c r="J74" i="9"/>
  <c r="J75" i="9"/>
  <c r="J26" i="9"/>
  <c r="J49" i="9"/>
  <c r="J50" i="9"/>
  <c r="J58" i="9"/>
  <c r="J5" i="9"/>
  <c r="J7" i="9"/>
  <c r="J6" i="9"/>
</calcChain>
</file>

<file path=xl/sharedStrings.xml><?xml version="1.0" encoding="utf-8"?>
<sst xmlns="http://schemas.openxmlformats.org/spreadsheetml/2006/main" count="1031" uniqueCount="635">
  <si>
    <t>Variable</t>
  </si>
  <si>
    <t>Description</t>
  </si>
  <si>
    <t>Value</t>
  </si>
  <si>
    <t>Example</t>
  </si>
  <si>
    <t>study</t>
  </si>
  <si>
    <t>open text</t>
  </si>
  <si>
    <t>Publication year</t>
  </si>
  <si>
    <t>Country of origin of participants</t>
  </si>
  <si>
    <t>Germany</t>
  </si>
  <si>
    <t>lang</t>
  </si>
  <si>
    <t>Language of questionnaire</t>
  </si>
  <si>
    <t>German</t>
  </si>
  <si>
    <t>Publication type</t>
  </si>
  <si>
    <t>n</t>
  </si>
  <si>
    <t>Sample size</t>
  </si>
  <si>
    <t>sex</t>
  </si>
  <si>
    <t>Percentage of women in sample (%)</t>
  </si>
  <si>
    <t>age</t>
  </si>
  <si>
    <t>Mean age (in years) of participants</t>
  </si>
  <si>
    <t>Number of extracted factors</t>
  </si>
  <si>
    <t>value range: [1,10]</t>
  </si>
  <si>
    <t>met</t>
  </si>
  <si>
    <t>Factoranalytic method</t>
  </si>
  <si>
    <t>1= principal component,
2= principal axis,
3= maximum likelihood,
4= other</t>
  </si>
  <si>
    <t>rot</t>
  </si>
  <si>
    <t>Rotation method</t>
  </si>
  <si>
    <t>F1.1</t>
  </si>
  <si>
    <t>value range: [-1,1]</t>
  </si>
  <si>
    <t>F1.2</t>
  </si>
  <si>
    <t>F1.3</t>
  </si>
  <si>
    <t>F1.4</t>
  </si>
  <si>
    <t>F1.5</t>
  </si>
  <si>
    <t>F1.6</t>
  </si>
  <si>
    <t>F1.7</t>
  </si>
  <si>
    <t>F1.8</t>
  </si>
  <si>
    <t>F1.9</t>
  </si>
  <si>
    <t>F1.10</t>
  </si>
  <si>
    <t>F2.1</t>
  </si>
  <si>
    <t>F2.2</t>
  </si>
  <si>
    <t>F2.6</t>
  </si>
  <si>
    <t>R1.2</t>
  </si>
  <si>
    <t>Correlation between Factor 1 and 2</t>
  </si>
  <si>
    <t>General comments</t>
  </si>
  <si>
    <t>F1.5*</t>
  </si>
  <si>
    <t>F2.5*</t>
  </si>
  <si>
    <t>Number of response options</t>
  </si>
  <si>
    <t>res</t>
  </si>
  <si>
    <t>R1.3</t>
  </si>
  <si>
    <t>R1.4</t>
  </si>
  <si>
    <t>R3.4</t>
  </si>
  <si>
    <t>schmidt2012</t>
  </si>
  <si>
    <t>sid</t>
  </si>
  <si>
    <t>pubyear</t>
  </si>
  <si>
    <t>country</t>
  </si>
  <si>
    <t>pubtype</t>
  </si>
  <si>
    <t>F1.4*</t>
  </si>
  <si>
    <t>F1.11</t>
  </si>
  <si>
    <t>F1.13</t>
  </si>
  <si>
    <t>F1.14</t>
  </si>
  <si>
    <t>F1.15</t>
  </si>
  <si>
    <t>F1.18</t>
  </si>
  <si>
    <t>F2.4*</t>
  </si>
  <si>
    <t>F2.11</t>
  </si>
  <si>
    <t>F2.13</t>
  </si>
  <si>
    <t>F2.14</t>
  </si>
  <si>
    <t>F2.15</t>
  </si>
  <si>
    <t>F3.1</t>
  </si>
  <si>
    <t>F3.2</t>
  </si>
  <si>
    <t>F3.4*</t>
  </si>
  <si>
    <t>F3.5*</t>
  </si>
  <si>
    <t>F3.6</t>
  </si>
  <si>
    <t>F3.11</t>
  </si>
  <si>
    <t>F3.13</t>
  </si>
  <si>
    <t>F3.14</t>
  </si>
  <si>
    <t>F3.15</t>
  </si>
  <si>
    <t>F4.1</t>
  </si>
  <si>
    <t>F4.2</t>
  </si>
  <si>
    <t>F4.4*</t>
  </si>
  <si>
    <t>F4.5*</t>
  </si>
  <si>
    <t>F4.6</t>
  </si>
  <si>
    <t>F4.11</t>
  </si>
  <si>
    <t>F4.13</t>
  </si>
  <si>
    <t>F4.14</t>
  </si>
  <si>
    <t>F4.15</t>
  </si>
  <si>
    <t>F5.1</t>
  </si>
  <si>
    <t>F5.2</t>
  </si>
  <si>
    <t>F5.4*</t>
  </si>
  <si>
    <t>F5.5*</t>
  </si>
  <si>
    <t>F5.6</t>
  </si>
  <si>
    <t>F5.11</t>
  </si>
  <si>
    <t>F5.13</t>
  </si>
  <si>
    <t>F5.14</t>
  </si>
  <si>
    <t>F5.15</t>
  </si>
  <si>
    <t>R1.5</t>
  </si>
  <si>
    <t>R2.3</t>
  </si>
  <si>
    <t>R2.4</t>
  </si>
  <si>
    <t>R2.5</t>
  </si>
  <si>
    <t>R3.5</t>
  </si>
  <si>
    <t>R4.5</t>
  </si>
  <si>
    <t>r1.2</t>
  </si>
  <si>
    <t>r1.6</t>
  </si>
  <si>
    <t>r1.11</t>
  </si>
  <si>
    <t>r1.13</t>
  </si>
  <si>
    <t>r1.14</t>
  </si>
  <si>
    <t>r1.15</t>
  </si>
  <si>
    <t>r2.6</t>
  </si>
  <si>
    <t>r2.11</t>
  </si>
  <si>
    <t>r2.13</t>
  </si>
  <si>
    <t>r2.14</t>
  </si>
  <si>
    <t>r2.15</t>
  </si>
  <si>
    <t>r6.11</t>
  </si>
  <si>
    <t>r6.13</t>
  </si>
  <si>
    <t>r6.14</t>
  </si>
  <si>
    <t>r6.15</t>
  </si>
  <si>
    <t>r11.13</t>
  </si>
  <si>
    <t>r11.14</t>
  </si>
  <si>
    <t>r11.15</t>
  </si>
  <si>
    <t>r13.14</t>
  </si>
  <si>
    <t>r13.15</t>
  </si>
  <si>
    <t>r14.15</t>
  </si>
  <si>
    <t>F1.12</t>
  </si>
  <si>
    <t>F1.16</t>
  </si>
  <si>
    <t>F1.17</t>
  </si>
  <si>
    <t>…</t>
  </si>
  <si>
    <t>Correlation between Factor 1 and 3</t>
  </si>
  <si>
    <t>Correlation between Factor 1 and 4</t>
  </si>
  <si>
    <t>Correlation between Factor 1 and 5</t>
  </si>
  <si>
    <t>Correlation between Factor 2 and 3</t>
  </si>
  <si>
    <t>Correlation between Factor 2 and 4</t>
  </si>
  <si>
    <t>Correlation between Factor 2 and 5</t>
  </si>
  <si>
    <t>Correlation between Factor 3 and 4</t>
  </si>
  <si>
    <t>Correlation between Factor 3 and 5</t>
  </si>
  <si>
    <t>Correlation between Factor 4 and 5</t>
  </si>
  <si>
    <t>Correlation between Item 1 and 2</t>
  </si>
  <si>
    <t>Correlation between Item 1 and 3</t>
  </si>
  <si>
    <t>Correlation between Item 1 and 4</t>
  </si>
  <si>
    <t>Correlation between Item 1 and 5</t>
  </si>
  <si>
    <t>Correlation between Item 1 and 6</t>
  </si>
  <si>
    <t>Correlation between Item 1 and 7</t>
  </si>
  <si>
    <t>Correlation between Item 1 and 8</t>
  </si>
  <si>
    <t>Correlation between Item 1 and 9</t>
  </si>
  <si>
    <t>Correlation between Item 1 and 10</t>
  </si>
  <si>
    <t>Correlation between Item 1 and 11</t>
  </si>
  <si>
    <t>Correlation between Item 1 and 12</t>
  </si>
  <si>
    <t>Correlation between Item 1 and 13</t>
  </si>
  <si>
    <t>Correlation between Item 1 and 14</t>
  </si>
  <si>
    <t>Correlation between Item 1 and 15</t>
  </si>
  <si>
    <t>Correlation between Item 1 and 16</t>
  </si>
  <si>
    <t>Correlation between Item 1 and 17</t>
  </si>
  <si>
    <t>Correlation between Item 1 and 18</t>
  </si>
  <si>
    <t>Correlation between Item 2 and 3</t>
  </si>
  <si>
    <t>Correlation between Item 2 and 4</t>
  </si>
  <si>
    <t>sample</t>
  </si>
  <si>
    <t>university students (Freshmen)</t>
  </si>
  <si>
    <t>value range: [1,[</t>
  </si>
  <si>
    <t>r1.4*</t>
  </si>
  <si>
    <t>r1.5*</t>
  </si>
  <si>
    <t>r2.4*</t>
  </si>
  <si>
    <t>r2.5*</t>
  </si>
  <si>
    <t>description of participants, including important features of the sample such as clinical sample, non-native speakers, etc.</t>
  </si>
  <si>
    <t>r1.20</t>
  </si>
  <si>
    <t>Correlation between Item 1 and 19</t>
  </si>
  <si>
    <t>Correlation between Item 1 and 20</t>
  </si>
  <si>
    <t>r2.20</t>
  </si>
  <si>
    <t>r7.20</t>
  </si>
  <si>
    <t>r17.20</t>
  </si>
  <si>
    <t>r6.20</t>
  </si>
  <si>
    <t>r11.20</t>
  </si>
  <si>
    <t>r14.20</t>
  </si>
  <si>
    <t>r15.20</t>
  </si>
  <si>
    <t>notes</t>
  </si>
  <si>
    <t>F1 - I am often confused about what emotion I am feeling.</t>
  </si>
  <si>
    <t>F1 - It is difficult for me to find the right words for my feelings.</t>
  </si>
  <si>
    <t>F1 -I have physical sensations that even doctors don’t understand.</t>
  </si>
  <si>
    <t>F1.19</t>
  </si>
  <si>
    <t>F1.20</t>
  </si>
  <si>
    <t>F1 -  I prefer to analyse problems rather than just describe them.*</t>
  </si>
  <si>
    <t>F1 -I am able to describe my feelings easily. *</t>
  </si>
  <si>
    <t>F1 - When I am upset, I don’t know if I am sad, frightened or angry.</t>
  </si>
  <si>
    <t>F1 -I am often puzzled by sensations in my body.</t>
  </si>
  <si>
    <t>F1 -I prefer to just let things happen rather than to understand why they turned out that way.</t>
  </si>
  <si>
    <t>F1 - I have feelings that I can't quite identify.</t>
  </si>
  <si>
    <t>F1 - Being in touch with my feelings is essential. *</t>
  </si>
  <si>
    <t>F1 - I find it hard to describe how I feel about people.</t>
  </si>
  <si>
    <t>F1 - People tell me to describe my feelings more.</t>
  </si>
  <si>
    <t>F1 - I don't know what's going on inside me.</t>
  </si>
  <si>
    <t>F1 - I often don't know why I'm angry.</t>
  </si>
  <si>
    <t>F1 - I prefer talking to people about their daily activities rather than their feelings.</t>
  </si>
  <si>
    <t>F1 - I prefer to watch “light” entertainment shows rather than psychological dramas.</t>
  </si>
  <si>
    <t>F1 - It is difficult for me to reveal my innermost feeling, even to close friends.</t>
  </si>
  <si>
    <t>F1 - I can feel close to someone, even in moments of silence. *</t>
  </si>
  <si>
    <t>F1 - I find examination of my feelings useful in solving personal problems. *</t>
  </si>
  <si>
    <t>F1 - Looking for hidden meanings in movies or plays distracts from their enjoyment.</t>
  </si>
  <si>
    <t>F2 - I am often confused about what emotion I am feeling.</t>
  </si>
  <si>
    <t>F2 - It is difficult for me to find the right words for my feelings.</t>
  </si>
  <si>
    <t>r2.3</t>
  </si>
  <si>
    <t>r1.3</t>
  </si>
  <si>
    <t>r1.7</t>
  </si>
  <si>
    <t>r1.8</t>
  </si>
  <si>
    <t>r1.9</t>
  </si>
  <si>
    <t>r1.10*</t>
  </si>
  <si>
    <t>r1.12</t>
  </si>
  <si>
    <t>r1.16</t>
  </si>
  <si>
    <t>r1.17</t>
  </si>
  <si>
    <t>r1.19*</t>
  </si>
  <si>
    <t>r1.18*</t>
  </si>
  <si>
    <t>r2.7</t>
  </si>
  <si>
    <t>r2.8</t>
  </si>
  <si>
    <t>r2.9</t>
  </si>
  <si>
    <t>r2.10*</t>
  </si>
  <si>
    <t>r2.12</t>
  </si>
  <si>
    <t>r2.16</t>
  </si>
  <si>
    <t>r2.17</t>
  </si>
  <si>
    <t>r2.18*</t>
  </si>
  <si>
    <t>r2.19*</t>
  </si>
  <si>
    <t>r3.4*</t>
  </si>
  <si>
    <t>r3.5*</t>
  </si>
  <si>
    <t>r3.6</t>
  </si>
  <si>
    <t>r3.7</t>
  </si>
  <si>
    <t>r3.8</t>
  </si>
  <si>
    <t>r3.9</t>
  </si>
  <si>
    <t>r3.10*</t>
  </si>
  <si>
    <t>r3.11</t>
  </si>
  <si>
    <t>r3.12</t>
  </si>
  <si>
    <t>r3.13</t>
  </si>
  <si>
    <t>r3.14</t>
  </si>
  <si>
    <t>r3.15</t>
  </si>
  <si>
    <t>r3.16</t>
  </si>
  <si>
    <t>r3.17</t>
  </si>
  <si>
    <t>r3.18*</t>
  </si>
  <si>
    <t>r3.19*</t>
  </si>
  <si>
    <t>r3.20</t>
  </si>
  <si>
    <t>r6.7</t>
  </si>
  <si>
    <t>r6.8</t>
  </si>
  <si>
    <t>r6.9</t>
  </si>
  <si>
    <t>r6.10*</t>
  </si>
  <si>
    <t>r6.12</t>
  </si>
  <si>
    <t>r6.16</t>
  </si>
  <si>
    <t>r6.17</t>
  </si>
  <si>
    <t>r6.18*</t>
  </si>
  <si>
    <t>r6.19*</t>
  </si>
  <si>
    <t>r7.8</t>
  </si>
  <si>
    <t>r7.9</t>
  </si>
  <si>
    <t>r7.10*</t>
  </si>
  <si>
    <t>r7.11</t>
  </si>
  <si>
    <t>r7.12</t>
  </si>
  <si>
    <t>r7.13</t>
  </si>
  <si>
    <t>r7.14</t>
  </si>
  <si>
    <t>r7.15</t>
  </si>
  <si>
    <t>r7.16</t>
  </si>
  <si>
    <t>r7.17</t>
  </si>
  <si>
    <t>r7.18*</t>
  </si>
  <si>
    <t>r7.19*</t>
  </si>
  <si>
    <t>r8.9</t>
  </si>
  <si>
    <t>r8.10*</t>
  </si>
  <si>
    <t>r8.11</t>
  </si>
  <si>
    <t>r8.12</t>
  </si>
  <si>
    <t>r8.13</t>
  </si>
  <si>
    <t>r8.14</t>
  </si>
  <si>
    <t>r8.15</t>
  </si>
  <si>
    <t>r8.16</t>
  </si>
  <si>
    <t>r8.17</t>
  </si>
  <si>
    <t>r8.18*</t>
  </si>
  <si>
    <t>r8.19*</t>
  </si>
  <si>
    <t>r8.20</t>
  </si>
  <si>
    <t>r9.10*</t>
  </si>
  <si>
    <t>r9.11</t>
  </si>
  <si>
    <t>r9.12</t>
  </si>
  <si>
    <t>r9.13</t>
  </si>
  <si>
    <t>r9.14</t>
  </si>
  <si>
    <t>r9.15</t>
  </si>
  <si>
    <t>r9.16</t>
  </si>
  <si>
    <t>r9.17</t>
  </si>
  <si>
    <t>r9.18*</t>
  </si>
  <si>
    <t>r9.19*</t>
  </si>
  <si>
    <t>r9.20</t>
  </si>
  <si>
    <t>r11.12</t>
  </si>
  <si>
    <t>r11.16</t>
  </si>
  <si>
    <t>r11.17</t>
  </si>
  <si>
    <t>r11.18*</t>
  </si>
  <si>
    <t>r11.19*</t>
  </si>
  <si>
    <t>r12.13</t>
  </si>
  <si>
    <t>r12.14</t>
  </si>
  <si>
    <t>r12.15</t>
  </si>
  <si>
    <t>r12.16</t>
  </si>
  <si>
    <t>r12.17</t>
  </si>
  <si>
    <t>r12.18*</t>
  </si>
  <si>
    <t>r12.19*</t>
  </si>
  <si>
    <t>r12.20</t>
  </si>
  <si>
    <t>r13.16</t>
  </si>
  <si>
    <t>r13.17</t>
  </si>
  <si>
    <t>r13.18*</t>
  </si>
  <si>
    <t>r13.19*</t>
  </si>
  <si>
    <t>r13.20</t>
  </si>
  <si>
    <t>r14.16</t>
  </si>
  <si>
    <t>r14.17</t>
  </si>
  <si>
    <t>r14.18*</t>
  </si>
  <si>
    <t>r14.19*</t>
  </si>
  <si>
    <t>r15.16</t>
  </si>
  <si>
    <t>r15.17</t>
  </si>
  <si>
    <t>r15.18*</t>
  </si>
  <si>
    <t>r15.19*</t>
  </si>
  <si>
    <t>r16.17</t>
  </si>
  <si>
    <t>r16.18*</t>
  </si>
  <si>
    <t>r16.19*</t>
  </si>
  <si>
    <t>r16.20</t>
  </si>
  <si>
    <t>r17.18*</t>
  </si>
  <si>
    <t>r17.19*</t>
  </si>
  <si>
    <t>F1.10*</t>
  </si>
  <si>
    <t>F1.18*</t>
  </si>
  <si>
    <t>F1.19*</t>
  </si>
  <si>
    <t>F2.3</t>
  </si>
  <si>
    <t>F2.7</t>
  </si>
  <si>
    <t>F2.8</t>
  </si>
  <si>
    <t>F2.9</t>
  </si>
  <si>
    <t>F2.10*</t>
  </si>
  <si>
    <t>F2.12</t>
  </si>
  <si>
    <t>F2.16</t>
  </si>
  <si>
    <t>F2.17</t>
  </si>
  <si>
    <t>F2.18*</t>
  </si>
  <si>
    <t>F2.19*</t>
  </si>
  <si>
    <t>F2.20</t>
  </si>
  <si>
    <t>F3.3</t>
  </si>
  <si>
    <t>F3.7</t>
  </si>
  <si>
    <t>F3.8</t>
  </si>
  <si>
    <t>F3.9</t>
  </si>
  <si>
    <t>F3.10*</t>
  </si>
  <si>
    <t>F3.12</t>
  </si>
  <si>
    <t>F3.16</t>
  </si>
  <si>
    <t>F3.17</t>
  </si>
  <si>
    <t>F3.18*</t>
  </si>
  <si>
    <t>F3.19*</t>
  </si>
  <si>
    <t>F3.20</t>
  </si>
  <si>
    <t>F4.3</t>
  </si>
  <si>
    <t>F4.7</t>
  </si>
  <si>
    <t>F4.8</t>
  </si>
  <si>
    <t>F4.9</t>
  </si>
  <si>
    <t>F4.10*</t>
  </si>
  <si>
    <t>F4.12</t>
  </si>
  <si>
    <t>F4.16</t>
  </si>
  <si>
    <t>F4.17</t>
  </si>
  <si>
    <t>F4.18*</t>
  </si>
  <si>
    <t>F4.19*</t>
  </si>
  <si>
    <t>F4.20</t>
  </si>
  <si>
    <t>F5.3</t>
  </si>
  <si>
    <t>F5.7</t>
  </si>
  <si>
    <t>F5.8</t>
  </si>
  <si>
    <t>F5.9</t>
  </si>
  <si>
    <t>F5.10*</t>
  </si>
  <si>
    <t>F5.12</t>
  </si>
  <si>
    <t>F5.16</t>
  </si>
  <si>
    <t>F5.17</t>
  </si>
  <si>
    <t>F5.18*</t>
  </si>
  <si>
    <t>F5.19*</t>
  </si>
  <si>
    <t>F5.20</t>
  </si>
  <si>
    <t>value range: ],2020]</t>
  </si>
  <si>
    <t>value range: [5,[</t>
  </si>
  <si>
    <t>continent</t>
  </si>
  <si>
    <t>clinical</t>
  </si>
  <si>
    <t>continent of origin of participants</t>
  </si>
  <si>
    <t>Asia</t>
  </si>
  <si>
    <t>sample consists of clinical patients</t>
  </si>
  <si>
    <t>English</t>
  </si>
  <si>
    <t>Canada</t>
  </si>
  <si>
    <t>university students</t>
  </si>
  <si>
    <t>psychiatric out-patients</t>
  </si>
  <si>
    <t>USA</t>
  </si>
  <si>
    <t>French</t>
  </si>
  <si>
    <t>0= no
1= yes                                                                         2=mixed</t>
  </si>
  <si>
    <t>psychology students</t>
  </si>
  <si>
    <t>value range: [0,100]</t>
  </si>
  <si>
    <t>France</t>
  </si>
  <si>
    <t>North America</t>
  </si>
  <si>
    <t>Europe</t>
  </si>
  <si>
    <t>sample ID: last name of first author + publication year
In case of multiple samples within one study: append a single letter</t>
  </si>
  <si>
    <t>study ID</t>
  </si>
  <si>
    <t>1= article in journal,
2= book,
3= thesis (master/phd),
4= presentation/proceedings,                     5= other</t>
  </si>
  <si>
    <t>r4.5*</t>
  </si>
  <si>
    <t>r4.6</t>
  </si>
  <si>
    <t>r4.7</t>
  </si>
  <si>
    <t>r4.8</t>
  </si>
  <si>
    <t>r4.9</t>
  </si>
  <si>
    <t>r4.10*</t>
  </si>
  <si>
    <t>r4.11</t>
  </si>
  <si>
    <t>r4.12</t>
  </si>
  <si>
    <t>r4.13</t>
  </si>
  <si>
    <t>r4.14</t>
  </si>
  <si>
    <t>r4.15</t>
  </si>
  <si>
    <t>r4.16</t>
  </si>
  <si>
    <t>r4.17</t>
  </si>
  <si>
    <t>r4.18*</t>
  </si>
  <si>
    <t>r4.19*</t>
  </si>
  <si>
    <t>r4.20</t>
  </si>
  <si>
    <t>r5.6</t>
  </si>
  <si>
    <t>r5.7</t>
  </si>
  <si>
    <t>r5.8</t>
  </si>
  <si>
    <t>r5.9</t>
  </si>
  <si>
    <t>r5.10*</t>
  </si>
  <si>
    <t>r5.11</t>
  </si>
  <si>
    <t>r5.12</t>
  </si>
  <si>
    <t>r5.13</t>
  </si>
  <si>
    <t>r5.14</t>
  </si>
  <si>
    <t>r5.15</t>
  </si>
  <si>
    <t>r5.16</t>
  </si>
  <si>
    <t>r5.17</t>
  </si>
  <si>
    <t>r5.18*</t>
  </si>
  <si>
    <t>r5.19*</t>
  </si>
  <si>
    <t>r5.20</t>
  </si>
  <si>
    <t>r10.11</t>
  </si>
  <si>
    <t>r10.12</t>
  </si>
  <si>
    <t>r10.13</t>
  </si>
  <si>
    <t>r10.14</t>
  </si>
  <si>
    <t>r10.15</t>
  </si>
  <si>
    <t>r10.16</t>
  </si>
  <si>
    <t>r10.17</t>
  </si>
  <si>
    <t>r10.18*</t>
  </si>
  <si>
    <t>r10.19*</t>
  </si>
  <si>
    <t>r10.20</t>
  </si>
  <si>
    <t>r18.19*</t>
  </si>
  <si>
    <t>r18.20</t>
  </si>
  <si>
    <t>r19.20</t>
  </si>
  <si>
    <t>r1.5</t>
  </si>
  <si>
    <t>r1.10</t>
  </si>
  <si>
    <t>r1.18</t>
  </si>
  <si>
    <t>r1.19</t>
  </si>
  <si>
    <t>r1.4</t>
  </si>
  <si>
    <t>bagby1994a</t>
  </si>
  <si>
    <t>bagby1994b</t>
  </si>
  <si>
    <t>bagby1994c</t>
  </si>
  <si>
    <t>cleland2005</t>
  </si>
  <si>
    <t>outpatient (alcohol or drug dependence or abuse diagnosis)</t>
  </si>
  <si>
    <t>popp2008</t>
  </si>
  <si>
    <t>representative German sample</t>
  </si>
  <si>
    <t>müller2003a</t>
  </si>
  <si>
    <t>müller2003b</t>
  </si>
  <si>
    <t>inpatients (psychosomatic disorders and substance abuse)</t>
  </si>
  <si>
    <t>normal adults (office workers and skilled workers)</t>
  </si>
  <si>
    <t>moriguchi2007a</t>
  </si>
  <si>
    <t>moriguchi2007b</t>
  </si>
  <si>
    <t>community sample</t>
  </si>
  <si>
    <t>Japan</t>
  </si>
  <si>
    <t>Japanese</t>
  </si>
  <si>
    <t>outpatients (psychosomatic clinic)</t>
  </si>
  <si>
    <t>kojima2001</t>
  </si>
  <si>
    <t>patients</t>
  </si>
  <si>
    <t>Arabic</t>
  </si>
  <si>
    <t>Algeria/Oman/Gaza</t>
  </si>
  <si>
    <t>undergraduate students</t>
  </si>
  <si>
    <t>el_abiddine2017b</t>
  </si>
  <si>
    <t>Spanish</t>
  </si>
  <si>
    <t>bolat2017</t>
  </si>
  <si>
    <t>Turkey</t>
  </si>
  <si>
    <t>Turkish</t>
  </si>
  <si>
    <t>secondary/high school students</t>
  </si>
  <si>
    <t>gülec2009</t>
  </si>
  <si>
    <t>year of sample is a proxy, factor loading of Item 10 in Table 1 is set to plausible value (see also item 15 for a three digit value).</t>
  </si>
  <si>
    <t>loiselle2001a</t>
  </si>
  <si>
    <t>loiselle2001b</t>
  </si>
  <si>
    <t>Peru</t>
  </si>
  <si>
    <t>South America</t>
  </si>
  <si>
    <t>meganck2008a</t>
  </si>
  <si>
    <t>meganck2008b</t>
  </si>
  <si>
    <t>Dutch</t>
  </si>
  <si>
    <t>adult sample</t>
  </si>
  <si>
    <t>outpatients (mood disorder, anxiety, etc.)</t>
  </si>
  <si>
    <t>Belgium</t>
  </si>
  <si>
    <t>Australia</t>
  </si>
  <si>
    <t>outpatients (mood disorder, neurotic, stress-related and somatoform disorders, etc.)</t>
  </si>
  <si>
    <t>college students</t>
  </si>
  <si>
    <t>preece2018a</t>
  </si>
  <si>
    <t>preece2018b</t>
  </si>
  <si>
    <t>reise2013</t>
  </si>
  <si>
    <t>tuliao2019a</t>
  </si>
  <si>
    <t>tuliao2019b</t>
  </si>
  <si>
    <t>Philippines</t>
  </si>
  <si>
    <t>watters2019a</t>
  </si>
  <si>
    <t>besharat2007-1</t>
  </si>
  <si>
    <t>Iran</t>
  </si>
  <si>
    <t>Farsi</t>
  </si>
  <si>
    <t>besharat2007-2</t>
  </si>
  <si>
    <t>besharat2008-1a</t>
  </si>
  <si>
    <t>besharat2008-1b</t>
  </si>
  <si>
    <t>patients (depression, anxiety, OCD)</t>
  </si>
  <si>
    <t>outpatients (substance-use disorders)</t>
  </si>
  <si>
    <t>besharat2008-2</t>
  </si>
  <si>
    <t>Italy</t>
  </si>
  <si>
    <t>Italian</t>
  </si>
  <si>
    <t>medical and psychiatric outpatients</t>
  </si>
  <si>
    <t>healthy adults</t>
  </si>
  <si>
    <t>bressi1996a</t>
  </si>
  <si>
    <t>bressi1996b</t>
  </si>
  <si>
    <t>fukunishi1997</t>
  </si>
  <si>
    <t>psychiatric outpatients</t>
  </si>
  <si>
    <t>gignac2007</t>
  </si>
  <si>
    <t>kroner1995</t>
  </si>
  <si>
    <t>richards2005</t>
  </si>
  <si>
    <t>zimmermann2005</t>
  </si>
  <si>
    <t>franz2001</t>
  </si>
  <si>
    <t>erni1997</t>
  </si>
  <si>
    <t>preece2020-2</t>
  </si>
  <si>
    <t>joukamaa2001a</t>
  </si>
  <si>
    <t>joukamaa2001b</t>
  </si>
  <si>
    <t>Finland</t>
  </si>
  <si>
    <t>Finnish</t>
  </si>
  <si>
    <t>sample of adults 31 year old</t>
  </si>
  <si>
    <t>loas2001a</t>
  </si>
  <si>
    <t>loas2001b</t>
  </si>
  <si>
    <t>patients (substance use, eating disorder)</t>
  </si>
  <si>
    <t>healthy subjects</t>
  </si>
  <si>
    <t>India</t>
  </si>
  <si>
    <t>Hindi</t>
  </si>
  <si>
    <t>Indian adults</t>
  </si>
  <si>
    <t>pandey1996</t>
  </si>
  <si>
    <t>mean age was calculated</t>
  </si>
  <si>
    <t>seo2009a</t>
  </si>
  <si>
    <t>seo2009b</t>
  </si>
  <si>
    <t>South Korea</t>
  </si>
  <si>
    <t>Korean</t>
  </si>
  <si>
    <t>middle school students</t>
  </si>
  <si>
    <t>mean age of the complete sample was 13.46 years</t>
  </si>
  <si>
    <t>cfa</t>
  </si>
  <si>
    <t>0= EFA
1= CFA</t>
  </si>
  <si>
    <t>1= orthogonal (e.g. VARIMAX),
2= oblique (e.g., oblimin, promax)</t>
  </si>
  <si>
    <t>el_abiddine2017a</t>
  </si>
  <si>
    <t>bifactor model was coded</t>
  </si>
  <si>
    <t>recruits of the Canadian Armed Forces</t>
  </si>
  <si>
    <t>the four-dimensional model from the supplementary material was coded</t>
  </si>
  <si>
    <t>age was below 24, orthogonal method factor</t>
  </si>
  <si>
    <t>simonsson2000</t>
  </si>
  <si>
    <t>Sweden</t>
  </si>
  <si>
    <t>Swedish</t>
  </si>
  <si>
    <t>mean age was approximated</t>
  </si>
  <si>
    <t>colombarolli2019</t>
  </si>
  <si>
    <t>Portuguese</t>
  </si>
  <si>
    <t>Brazil</t>
  </si>
  <si>
    <t>wise2000</t>
  </si>
  <si>
    <t>psychiatric outpatients (major mood disorders, adjustment disorders)</t>
  </si>
  <si>
    <t>strange solution</t>
  </si>
  <si>
    <t>nfac</t>
  </si>
  <si>
    <t>zhu2007a</t>
  </si>
  <si>
    <t>zhu2007b</t>
  </si>
  <si>
    <t>China</t>
  </si>
  <si>
    <t>Chinese</t>
  </si>
  <si>
    <t>outpatients (mood disorder, anxiety, somatoform, etc.)</t>
  </si>
  <si>
    <t>the DIF-DDF-EOT model was coded since factor correlations were available</t>
  </si>
  <si>
    <t>koch2015</t>
  </si>
  <si>
    <t>khosravani2019</t>
  </si>
  <si>
    <t>patients (somatoform disorder)</t>
  </si>
  <si>
    <t>EFAs were conducted with half the sample, age and sex ratio, thus, a proxy</t>
  </si>
  <si>
    <t>students</t>
  </si>
  <si>
    <t>parker1993a</t>
  </si>
  <si>
    <t>parker1993b</t>
  </si>
  <si>
    <t>parker1993c</t>
  </si>
  <si>
    <t>parker2010a</t>
  </si>
  <si>
    <t>parker2010b</t>
  </si>
  <si>
    <t>parker2010c</t>
  </si>
  <si>
    <t>parker2010d</t>
  </si>
  <si>
    <t>young adults (19-21 years)</t>
  </si>
  <si>
    <t>young adults (17-18 years)</t>
  </si>
  <si>
    <t>young adults (15-16 years)</t>
  </si>
  <si>
    <t>young adults (13-14 years)</t>
  </si>
  <si>
    <t>parker2005a</t>
  </si>
  <si>
    <t>parker2005b</t>
  </si>
  <si>
    <t>parker2003a</t>
  </si>
  <si>
    <t>parker2003b</t>
  </si>
  <si>
    <t>North American aboriginal population</t>
  </si>
  <si>
    <t>forensic sample (North American male aboriginal offenders)</t>
  </si>
  <si>
    <t>anderson2003</t>
  </si>
  <si>
    <t>Australian male adult high school students</t>
  </si>
  <si>
    <t>boutemy2000</t>
  </si>
  <si>
    <t>louth1998</t>
  </si>
  <si>
    <t>female undergrate students</t>
  </si>
  <si>
    <t>eiden1998</t>
  </si>
  <si>
    <t>college students (psychology)</t>
  </si>
  <si>
    <t>sex ratio was recalculted with information on p. 67</t>
  </si>
  <si>
    <t>thorberg2010</t>
  </si>
  <si>
    <t>outpatients (alcohol dependence)</t>
  </si>
  <si>
    <t>Model 4 (bifactor model + method factor) was coded</t>
  </si>
  <si>
    <t>inmates (sexual and violent offenders)</t>
  </si>
  <si>
    <t>country/language were induced by the affiliation</t>
  </si>
  <si>
    <t>Netherlands</t>
  </si>
  <si>
    <t>error in Table 2: item no. 2</t>
  </si>
  <si>
    <t>adult sample (patients, employees, nurses, etc.)</t>
  </si>
  <si>
    <t>patients (psoriasis)</t>
  </si>
  <si>
    <t>not a psychiatric sample</t>
  </si>
  <si>
    <t>UK</t>
  </si>
  <si>
    <t>Switzerland</t>
  </si>
  <si>
    <t>ayranci2014a</t>
  </si>
  <si>
    <t>ayranci2014b</t>
  </si>
  <si>
    <t>managers</t>
  </si>
  <si>
    <t>Africa/Asia</t>
  </si>
  <si>
    <t>students (business administration)</t>
  </si>
  <si>
    <t>preece2020-1</t>
  </si>
  <si>
    <t>incarcerated offenders</t>
  </si>
  <si>
    <t>for higher dimensional models correlations were missing</t>
  </si>
  <si>
    <t>kamm2016</t>
  </si>
  <si>
    <t>fournier2019</t>
  </si>
  <si>
    <t>patients (OCD, bipolar, etc.)</t>
  </si>
  <si>
    <t>Since factor correlations are missing for the full sample, only the "original model" could be coded. Thus, sex and Age are approximations.</t>
  </si>
  <si>
    <t>Chile</t>
  </si>
  <si>
    <t>Adolescent sample (Chilean indigenous and Hispanic)</t>
  </si>
  <si>
    <t>Portugal</t>
  </si>
  <si>
    <t>Information in Table 1 adds up to a sample size of 592 (instead of 596), see sex/age</t>
  </si>
  <si>
    <t>Mixed sample (mostly undergrates)</t>
  </si>
  <si>
    <t>watters2019b</t>
  </si>
  <si>
    <t>verissimo2000</t>
  </si>
  <si>
    <t>aluja2020</t>
  </si>
  <si>
    <t>mixed sample (community, cardiovascular disease)</t>
  </si>
  <si>
    <t>Spain</t>
  </si>
  <si>
    <t>Table A1 was coded</t>
  </si>
  <si>
    <t>larwood2020</t>
  </si>
  <si>
    <t>briganti2019</t>
  </si>
  <si>
    <t>online sample</t>
  </si>
  <si>
    <t xml:space="preserve">country is given in the acknowledgement, items 4, 5, 10, 18, 19 are not reversely coded in Table 2 </t>
  </si>
  <si>
    <t>pinaquy2002</t>
  </si>
  <si>
    <t>female patients (obesity)</t>
  </si>
  <si>
    <t>one factor loading only has three decimal places</t>
  </si>
  <si>
    <t>sample size differs between thesis (230) and paper (225)</t>
  </si>
  <si>
    <t>only the TAS-20K (2003) version was coded</t>
  </si>
  <si>
    <t>chung2003</t>
  </si>
  <si>
    <t>nunes2011</t>
  </si>
  <si>
    <t>high-school students</t>
  </si>
  <si>
    <t>outpatients (psychosomatic, neurotic)</t>
  </si>
  <si>
    <t>university students, vocational school students, office workers</t>
  </si>
  <si>
    <t>martinez-sanchez1996</t>
  </si>
  <si>
    <t>praceres2000a</t>
  </si>
  <si>
    <t>praceres2000b</t>
  </si>
  <si>
    <t>item 4 was manually reversely coded, since factor 2 contained all other reversely phrased items</t>
  </si>
  <si>
    <t>komaki2003a</t>
  </si>
  <si>
    <t>komaki2003b</t>
  </si>
  <si>
    <t>larger deviations in back-translation</t>
  </si>
  <si>
    <t>negatively worded items had to be recoded</t>
  </si>
  <si>
    <t>94.5% worked on the French version (n = 1363)</t>
  </si>
  <si>
    <t>degucht2004</t>
  </si>
  <si>
    <t>p.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</si>
</sst>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[$€-407];[Red]&quot;-&quot;#,##0.00&quot; &quot;[$€-407]"/>
    <numFmt numFmtId="165" formatCode="0.0"/>
    <numFmt numFmtId="166" formatCode="0.000"/>
  </numFmts>
  <fonts count="10" x14ac:knownFonts="1"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b/>
      <sz val="11"/>
      <color theme="0"/>
      <name val="Consolas"/>
      <family val="3"/>
    </font>
    <font>
      <sz val="11"/>
      <color rgb="FF000000"/>
      <name val="Consolas"/>
      <family val="3"/>
    </font>
    <font>
      <sz val="11"/>
      <name val="Consolas"/>
      <family val="3"/>
    </font>
    <font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B2B2B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0" xfId="0" applyNumberForma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center"/>
    </xf>
    <xf numFmtId="0" fontId="0" fillId="4" borderId="0" xfId="0" applyNumberFormat="1" applyFill="1" applyAlignment="1">
      <alignment vertical="top" wrapText="1"/>
    </xf>
    <xf numFmtId="22" fontId="0" fillId="0" borderId="0" xfId="0" applyNumberFormat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NumberFormat="1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6" borderId="0" xfId="0" applyFill="1" applyAlignment="1">
      <alignment vertical="center"/>
    </xf>
    <xf numFmtId="0" fontId="0" fillId="6" borderId="0" xfId="0" applyNumberFormat="1" applyFill="1" applyAlignment="1">
      <alignment vertical="top" wrapText="1"/>
    </xf>
    <xf numFmtId="0" fontId="0" fillId="6" borderId="0" xfId="0" applyFill="1"/>
    <xf numFmtId="0" fontId="0" fillId="4" borderId="0" xfId="0" applyFill="1"/>
    <xf numFmtId="0" fontId="6" fillId="2" borderId="1" xfId="0" applyFont="1" applyFill="1" applyBorder="1" applyAlignment="1">
      <alignment horizontal="left"/>
    </xf>
    <xf numFmtId="2" fontId="6" fillId="2" borderId="2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0" xfId="0" applyFont="1" applyFill="1"/>
    <xf numFmtId="0" fontId="7" fillId="0" borderId="0" xfId="0" applyFont="1" applyFill="1"/>
    <xf numFmtId="0" fontId="8" fillId="0" borderId="0" xfId="0" applyFont="1" applyFill="1"/>
    <xf numFmtId="2" fontId="8" fillId="0" borderId="0" xfId="0" applyNumberFormat="1" applyFont="1" applyFill="1"/>
    <xf numFmtId="2" fontId="7" fillId="0" borderId="0" xfId="0" applyNumberFormat="1" applyFont="1" applyFill="1"/>
    <xf numFmtId="165" fontId="7" fillId="0" borderId="0" xfId="0" applyNumberFormat="1" applyFont="1" applyFill="1"/>
    <xf numFmtId="166" fontId="7" fillId="0" borderId="0" xfId="0" applyNumberFormat="1" applyFont="1" applyFill="1"/>
    <xf numFmtId="0" fontId="6" fillId="2" borderId="1" xfId="0" applyFont="1" applyFill="1" applyBorder="1" applyAlignment="1"/>
    <xf numFmtId="2" fontId="6" fillId="2" borderId="2" xfId="0" applyNumberFormat="1" applyFont="1" applyFill="1" applyBorder="1" applyAlignment="1"/>
    <xf numFmtId="2" fontId="6" fillId="2" borderId="1" xfId="0" applyNumberFormat="1" applyFont="1" applyFill="1" applyBorder="1" applyAlignment="1"/>
    <xf numFmtId="0" fontId="6" fillId="2" borderId="2" xfId="0" applyFont="1" applyFill="1" applyBorder="1" applyAlignment="1"/>
    <xf numFmtId="0" fontId="7" fillId="0" borderId="0" xfId="0" applyFont="1" applyAlignment="1"/>
    <xf numFmtId="0" fontId="7" fillId="0" borderId="0" xfId="0" applyFont="1"/>
    <xf numFmtId="0" fontId="6" fillId="0" borderId="0" xfId="0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7" fillId="0" borderId="0" xfId="0" applyFont="1" applyFill="1" applyAlignment="1">
      <alignment horizontal="left"/>
    </xf>
    <xf numFmtId="165" fontId="7" fillId="0" borderId="0" xfId="0" applyNumberFormat="1" applyFont="1"/>
    <xf numFmtId="0" fontId="0" fillId="0" borderId="0" xfId="0" applyFill="1" applyAlignment="1">
      <alignment vertical="top" wrapText="1"/>
    </xf>
    <xf numFmtId="0" fontId="0" fillId="0" borderId="0" xfId="0" applyFill="1"/>
    <xf numFmtId="0" fontId="9" fillId="0" borderId="0" xfId="0" applyFont="1" applyFill="1"/>
    <xf numFmtId="0" fontId="0" fillId="5" borderId="0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ont="1" applyFill="1" applyBorder="1" applyAlignment="1">
      <alignment vertical="top" wrapText="1"/>
    </xf>
    <xf numFmtId="0" fontId="0" fillId="8" borderId="0" xfId="0" applyFill="1" applyAlignment="1">
      <alignment vertical="top" wrapText="1"/>
    </xf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86</xdr:row>
      <xdr:rowOff>0</xdr:rowOff>
    </xdr:from>
    <xdr:to>
      <xdr:col>3</xdr:col>
      <xdr:colOff>304800</xdr:colOff>
      <xdr:row>87</xdr:row>
      <xdr:rowOff>120649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2D470-29C1-4432-BC1D-A005827AD5EA}"/>
            </a:ext>
          </a:extLst>
        </xdr:cNvPr>
        <xdr:cNvSpPr>
          <a:spLocks noChangeAspect="1" noChangeArrowheads="1"/>
        </xdr:cNvSpPr>
      </xdr:nvSpPr>
      <xdr:spPr bwMode="auto">
        <a:xfrm>
          <a:off x="622935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304800</xdr:colOff>
      <xdr:row>88</xdr:row>
      <xdr:rowOff>121920</xdr:rowOff>
    </xdr:to>
    <xdr:sp macro="" textlink="">
      <xdr:nvSpPr>
        <xdr:cNvPr id="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D27C7-8DF0-4E1B-8C69-91B2E3BE7EDE}"/>
            </a:ext>
          </a:extLst>
        </xdr:cNvPr>
        <xdr:cNvSpPr>
          <a:spLocks noChangeAspect="1" noChangeArrowheads="1"/>
        </xdr:cNvSpPr>
      </xdr:nvSpPr>
      <xdr:spPr bwMode="auto">
        <a:xfrm>
          <a:off x="6229350" y="28378150"/>
          <a:ext cx="304800" cy="306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9"/>
  <sheetViews>
    <sheetView zoomScaleNormal="100" workbookViewId="0">
      <pane ySplit="1" topLeftCell="A2" activePane="bottomLeft" state="frozen"/>
      <selection pane="bottomLeft" activeCell="B40" sqref="B40"/>
    </sheetView>
  </sheetViews>
  <sheetFormatPr baseColWidth="10" defaultRowHeight="15" x14ac:dyDescent="0.25"/>
  <cols>
    <col min="1" max="1" width="11.85546875" style="1" customWidth="1"/>
    <col min="2" max="2" width="74" style="1" customWidth="1"/>
    <col min="3" max="3" width="33.42578125" style="1" customWidth="1"/>
    <col min="4" max="4" width="11.85546875" style="1" customWidth="1"/>
  </cols>
  <sheetData>
    <row r="1" spans="1:4" s="3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1" t="s">
        <v>4</v>
      </c>
      <c r="B2" s="1" t="s">
        <v>374</v>
      </c>
      <c r="C2" s="1" t="s">
        <v>5</v>
      </c>
      <c r="D2" s="1" t="s">
        <v>50</v>
      </c>
    </row>
    <row r="3" spans="1:4" x14ac:dyDescent="0.25">
      <c r="A3" s="1" t="s">
        <v>51</v>
      </c>
      <c r="B3" s="1" t="s">
        <v>375</v>
      </c>
      <c r="C3" s="1" t="s">
        <v>154</v>
      </c>
      <c r="D3" s="1">
        <v>1</v>
      </c>
    </row>
    <row r="4" spans="1:4" x14ac:dyDescent="0.25">
      <c r="A4" s="1" t="s">
        <v>52</v>
      </c>
      <c r="B4" s="1" t="s">
        <v>6</v>
      </c>
      <c r="C4" s="1" t="s">
        <v>355</v>
      </c>
      <c r="D4" s="1">
        <v>2012</v>
      </c>
    </row>
    <row r="5" spans="1:4" x14ac:dyDescent="0.25">
      <c r="A5" s="1" t="s">
        <v>53</v>
      </c>
      <c r="B5" s="1" t="s">
        <v>7</v>
      </c>
      <c r="C5" s="1" t="s">
        <v>5</v>
      </c>
      <c r="D5" s="1" t="s">
        <v>8</v>
      </c>
    </row>
    <row r="6" spans="1:4" x14ac:dyDescent="0.25">
      <c r="A6" s="1" t="s">
        <v>357</v>
      </c>
      <c r="B6" s="1" t="s">
        <v>359</v>
      </c>
      <c r="C6" s="1" t="s">
        <v>5</v>
      </c>
      <c r="D6" s="1" t="s">
        <v>360</v>
      </c>
    </row>
    <row r="7" spans="1:4" x14ac:dyDescent="0.25">
      <c r="A7" s="1" t="s">
        <v>9</v>
      </c>
      <c r="B7" s="1" t="s">
        <v>10</v>
      </c>
      <c r="C7" s="1" t="s">
        <v>5</v>
      </c>
      <c r="D7" s="1" t="s">
        <v>11</v>
      </c>
    </row>
    <row r="8" spans="1:4" ht="74.099999999999994" customHeight="1" x14ac:dyDescent="0.25">
      <c r="A8" s="1" t="s">
        <v>54</v>
      </c>
      <c r="B8" s="1" t="s">
        <v>12</v>
      </c>
      <c r="C8" s="1" t="s">
        <v>376</v>
      </c>
      <c r="D8" s="1">
        <v>1</v>
      </c>
    </row>
    <row r="9" spans="1:4" ht="12.95" customHeight="1" x14ac:dyDescent="0.25">
      <c r="A9" s="1" t="s">
        <v>152</v>
      </c>
      <c r="B9" s="1" t="s">
        <v>159</v>
      </c>
      <c r="C9" s="1" t="s">
        <v>5</v>
      </c>
      <c r="D9" s="6" t="s">
        <v>153</v>
      </c>
    </row>
    <row r="10" spans="1:4" x14ac:dyDescent="0.25">
      <c r="A10" s="1" t="s">
        <v>13</v>
      </c>
      <c r="B10" s="1" t="s">
        <v>14</v>
      </c>
      <c r="C10" s="1" t="s">
        <v>154</v>
      </c>
      <c r="D10" s="1">
        <v>50</v>
      </c>
    </row>
    <row r="11" spans="1:4" x14ac:dyDescent="0.25">
      <c r="A11" s="1" t="s">
        <v>15</v>
      </c>
      <c r="B11" s="1" t="s">
        <v>16</v>
      </c>
      <c r="C11" s="1" t="s">
        <v>370</v>
      </c>
      <c r="D11" s="1">
        <v>1</v>
      </c>
    </row>
    <row r="12" spans="1:4" x14ac:dyDescent="0.25">
      <c r="A12" s="1" t="s">
        <v>17</v>
      </c>
      <c r="B12" s="1" t="s">
        <v>18</v>
      </c>
      <c r="C12" s="1" t="s">
        <v>154</v>
      </c>
      <c r="D12" s="1">
        <v>20</v>
      </c>
    </row>
    <row r="13" spans="1:4" ht="45" x14ac:dyDescent="0.25">
      <c r="A13" s="1" t="s">
        <v>358</v>
      </c>
      <c r="B13" s="1" t="s">
        <v>361</v>
      </c>
      <c r="C13" s="1" t="s">
        <v>368</v>
      </c>
      <c r="D13" s="6"/>
    </row>
    <row r="14" spans="1:4" x14ac:dyDescent="0.25">
      <c r="A14" s="1" t="s">
        <v>46</v>
      </c>
      <c r="B14" s="1" t="s">
        <v>45</v>
      </c>
      <c r="C14" s="1" t="s">
        <v>356</v>
      </c>
      <c r="D14" s="1">
        <v>5</v>
      </c>
    </row>
    <row r="15" spans="1:4" x14ac:dyDescent="0.25">
      <c r="A15" s="1" t="s">
        <v>538</v>
      </c>
      <c r="B15" s="1" t="s">
        <v>19</v>
      </c>
      <c r="C15" s="1" t="s">
        <v>20</v>
      </c>
      <c r="D15" s="1">
        <v>2</v>
      </c>
    </row>
    <row r="16" spans="1:4" s="43" customFormat="1" ht="30" x14ac:dyDescent="0.25">
      <c r="A16" s="42" t="s">
        <v>520</v>
      </c>
      <c r="B16" s="42" t="s">
        <v>22</v>
      </c>
      <c r="C16" s="42" t="s">
        <v>521</v>
      </c>
      <c r="D16" s="42">
        <v>1</v>
      </c>
    </row>
    <row r="17" spans="1:4" ht="60" x14ac:dyDescent="0.25">
      <c r="A17" s="1" t="s">
        <v>21</v>
      </c>
      <c r="B17" s="1" t="s">
        <v>22</v>
      </c>
      <c r="C17" s="1" t="s">
        <v>23</v>
      </c>
      <c r="D17" s="1">
        <v>1</v>
      </c>
    </row>
    <row r="18" spans="1:4" s="43" customFormat="1" ht="30" x14ac:dyDescent="0.25">
      <c r="A18" s="42" t="s">
        <v>24</v>
      </c>
      <c r="B18" s="42" t="s">
        <v>25</v>
      </c>
      <c r="C18" s="42" t="s">
        <v>522</v>
      </c>
      <c r="D18" s="42">
        <v>1</v>
      </c>
    </row>
    <row r="19" spans="1:4" x14ac:dyDescent="0.25">
      <c r="A19" s="1" t="s">
        <v>26</v>
      </c>
      <c r="B19" s="5" t="s">
        <v>171</v>
      </c>
      <c r="C19" s="1" t="s">
        <v>27</v>
      </c>
      <c r="D19" s="4">
        <v>0.5</v>
      </c>
    </row>
    <row r="20" spans="1:4" x14ac:dyDescent="0.25">
      <c r="A20" s="1" t="s">
        <v>28</v>
      </c>
      <c r="B20" s="5" t="s">
        <v>172</v>
      </c>
      <c r="C20" s="1" t="s">
        <v>27</v>
      </c>
      <c r="D20" s="4">
        <v>0.5</v>
      </c>
    </row>
    <row r="21" spans="1:4" s="14" customFormat="1" x14ac:dyDescent="0.25">
      <c r="A21" s="11" t="s">
        <v>29</v>
      </c>
      <c r="B21" s="12" t="s">
        <v>173</v>
      </c>
      <c r="C21" s="11" t="s">
        <v>27</v>
      </c>
      <c r="D21" s="13">
        <v>0.5</v>
      </c>
    </row>
    <row r="22" spans="1:4" x14ac:dyDescent="0.25">
      <c r="A22" s="7" t="s">
        <v>30</v>
      </c>
      <c r="B22" s="8" t="s">
        <v>177</v>
      </c>
      <c r="C22" s="7" t="s">
        <v>27</v>
      </c>
      <c r="D22" s="9">
        <v>0.5</v>
      </c>
    </row>
    <row r="23" spans="1:4" x14ac:dyDescent="0.25">
      <c r="A23" s="48" t="s">
        <v>31</v>
      </c>
      <c r="B23" s="8" t="s">
        <v>176</v>
      </c>
      <c r="C23" s="7" t="s">
        <v>27</v>
      </c>
      <c r="D23" s="9">
        <v>0.5</v>
      </c>
    </row>
    <row r="24" spans="1:4" x14ac:dyDescent="0.25">
      <c r="A24" s="1" t="s">
        <v>32</v>
      </c>
      <c r="B24" s="5" t="s">
        <v>178</v>
      </c>
      <c r="C24" s="1" t="s">
        <v>27</v>
      </c>
      <c r="D24" s="4">
        <v>0.5</v>
      </c>
    </row>
    <row r="25" spans="1:4" s="14" customFormat="1" x14ac:dyDescent="0.25">
      <c r="A25" s="11" t="s">
        <v>33</v>
      </c>
      <c r="B25" s="12" t="s">
        <v>179</v>
      </c>
      <c r="C25" s="11" t="s">
        <v>27</v>
      </c>
      <c r="D25" s="13">
        <v>0.5</v>
      </c>
    </row>
    <row r="26" spans="1:4" s="14" customFormat="1" x14ac:dyDescent="0.25">
      <c r="A26" s="47" t="s">
        <v>34</v>
      </c>
      <c r="B26" s="12" t="s">
        <v>180</v>
      </c>
      <c r="C26" s="11" t="s">
        <v>27</v>
      </c>
      <c r="D26" s="13">
        <v>0.5</v>
      </c>
    </row>
    <row r="27" spans="1:4" s="14" customFormat="1" x14ac:dyDescent="0.25">
      <c r="A27" s="45" t="s">
        <v>35</v>
      </c>
      <c r="B27" s="12" t="s">
        <v>181</v>
      </c>
      <c r="C27" s="11" t="s">
        <v>27</v>
      </c>
      <c r="D27" s="13">
        <v>0.5</v>
      </c>
    </row>
    <row r="28" spans="1:4" s="18" customFormat="1" x14ac:dyDescent="0.25">
      <c r="A28" s="48" t="s">
        <v>36</v>
      </c>
      <c r="B28" s="16" t="s">
        <v>182</v>
      </c>
      <c r="C28" s="15" t="s">
        <v>27</v>
      </c>
      <c r="D28" s="17">
        <v>0.5</v>
      </c>
    </row>
    <row r="29" spans="1:4" x14ac:dyDescent="0.25">
      <c r="A29" s="1" t="s">
        <v>56</v>
      </c>
      <c r="B29" s="5" t="s">
        <v>183</v>
      </c>
      <c r="C29" s="1" t="s">
        <v>27</v>
      </c>
      <c r="D29" s="4">
        <v>0.5</v>
      </c>
    </row>
    <row r="30" spans="1:4" s="14" customFormat="1" x14ac:dyDescent="0.25">
      <c r="A30" s="11" t="s">
        <v>120</v>
      </c>
      <c r="B30" s="12" t="s">
        <v>184</v>
      </c>
      <c r="C30" s="11" t="s">
        <v>27</v>
      </c>
      <c r="D30" s="13">
        <v>0.5</v>
      </c>
    </row>
    <row r="31" spans="1:4" x14ac:dyDescent="0.25">
      <c r="A31" s="1" t="s">
        <v>57</v>
      </c>
      <c r="B31" s="5" t="s">
        <v>185</v>
      </c>
      <c r="C31" s="1" t="s">
        <v>27</v>
      </c>
      <c r="D31" s="4">
        <v>0.5</v>
      </c>
    </row>
    <row r="32" spans="1:4" x14ac:dyDescent="0.25">
      <c r="A32" s="1" t="s">
        <v>58</v>
      </c>
      <c r="B32" s="5" t="s">
        <v>186</v>
      </c>
      <c r="C32" s="1" t="s">
        <v>27</v>
      </c>
      <c r="D32" s="4">
        <v>0.5</v>
      </c>
    </row>
    <row r="33" spans="1:4" x14ac:dyDescent="0.25">
      <c r="A33" s="46" t="s">
        <v>59</v>
      </c>
      <c r="B33" s="5" t="s">
        <v>187</v>
      </c>
      <c r="C33" s="1" t="s">
        <v>27</v>
      </c>
      <c r="D33" s="4">
        <v>0.5</v>
      </c>
    </row>
    <row r="34" spans="1:4" s="14" customFormat="1" x14ac:dyDescent="0.25">
      <c r="A34" s="46" t="s">
        <v>121</v>
      </c>
      <c r="B34" s="12" t="s">
        <v>188</v>
      </c>
      <c r="C34" s="11" t="s">
        <v>27</v>
      </c>
      <c r="D34" s="13">
        <v>0.5</v>
      </c>
    </row>
    <row r="35" spans="1:4" s="14" customFormat="1" x14ac:dyDescent="0.25">
      <c r="A35" s="11" t="s">
        <v>122</v>
      </c>
      <c r="B35" s="12" t="s">
        <v>189</v>
      </c>
      <c r="C35" s="11" t="s">
        <v>27</v>
      </c>
      <c r="D35" s="13">
        <v>0.5</v>
      </c>
    </row>
    <row r="36" spans="1:4" s="19" customFormat="1" x14ac:dyDescent="0.25">
      <c r="A36" s="48" t="s">
        <v>60</v>
      </c>
      <c r="B36" s="8" t="s">
        <v>190</v>
      </c>
      <c r="C36" s="7" t="s">
        <v>27</v>
      </c>
      <c r="D36" s="9">
        <v>0.5</v>
      </c>
    </row>
    <row r="37" spans="1:4" s="19" customFormat="1" x14ac:dyDescent="0.25">
      <c r="A37" s="48" t="s">
        <v>174</v>
      </c>
      <c r="B37" s="8" t="s">
        <v>191</v>
      </c>
      <c r="C37" s="7" t="s">
        <v>27</v>
      </c>
      <c r="D37" s="9">
        <v>0.5</v>
      </c>
    </row>
    <row r="38" spans="1:4" x14ac:dyDescent="0.25">
      <c r="A38" s="46" t="s">
        <v>175</v>
      </c>
      <c r="B38" s="5" t="s">
        <v>192</v>
      </c>
      <c r="C38" s="1" t="s">
        <v>27</v>
      </c>
      <c r="D38" s="4">
        <v>0.5</v>
      </c>
    </row>
    <row r="39" spans="1:4" x14ac:dyDescent="0.25">
      <c r="A39" s="1" t="s">
        <v>37</v>
      </c>
      <c r="B39" s="5" t="s">
        <v>193</v>
      </c>
      <c r="C39" s="1" t="s">
        <v>27</v>
      </c>
      <c r="D39" s="4">
        <v>0.5</v>
      </c>
    </row>
    <row r="40" spans="1:4" x14ac:dyDescent="0.25">
      <c r="A40" s="1" t="s">
        <v>38</v>
      </c>
      <c r="B40" s="5" t="s">
        <v>194</v>
      </c>
      <c r="C40" s="1" t="s">
        <v>27</v>
      </c>
      <c r="D40" s="4">
        <v>0.5</v>
      </c>
    </row>
    <row r="41" spans="1:4" x14ac:dyDescent="0.25">
      <c r="A41" s="1" t="s">
        <v>123</v>
      </c>
      <c r="B41" s="1" t="s">
        <v>123</v>
      </c>
      <c r="C41" s="1" t="s">
        <v>123</v>
      </c>
      <c r="D41" s="1" t="s">
        <v>123</v>
      </c>
    </row>
    <row r="43" spans="1:4" x14ac:dyDescent="0.25">
      <c r="A43" s="1" t="s">
        <v>40</v>
      </c>
      <c r="B43" s="1" t="s">
        <v>41</v>
      </c>
      <c r="C43" s="1" t="s">
        <v>27</v>
      </c>
      <c r="D43" s="4">
        <v>0.5</v>
      </c>
    </row>
    <row r="44" spans="1:4" x14ac:dyDescent="0.25">
      <c r="A44" s="1" t="s">
        <v>47</v>
      </c>
      <c r="B44" s="1" t="s">
        <v>124</v>
      </c>
      <c r="C44" s="1" t="s">
        <v>27</v>
      </c>
      <c r="D44" s="4">
        <v>0.5</v>
      </c>
    </row>
    <row r="45" spans="1:4" x14ac:dyDescent="0.25">
      <c r="A45" s="1" t="s">
        <v>48</v>
      </c>
      <c r="B45" s="1" t="s">
        <v>125</v>
      </c>
      <c r="C45" s="1" t="s">
        <v>27</v>
      </c>
      <c r="D45" s="4">
        <v>0.5</v>
      </c>
    </row>
    <row r="46" spans="1:4" x14ac:dyDescent="0.25">
      <c r="A46" s="1" t="s">
        <v>93</v>
      </c>
      <c r="B46" s="1" t="s">
        <v>126</v>
      </c>
      <c r="C46" s="1" t="s">
        <v>27</v>
      </c>
      <c r="D46" s="4">
        <v>0.5</v>
      </c>
    </row>
    <row r="47" spans="1:4" x14ac:dyDescent="0.25">
      <c r="A47" s="1" t="s">
        <v>94</v>
      </c>
      <c r="B47" s="1" t="s">
        <v>127</v>
      </c>
      <c r="C47" s="1" t="s">
        <v>27</v>
      </c>
      <c r="D47" s="4">
        <v>0.5</v>
      </c>
    </row>
    <row r="48" spans="1:4" x14ac:dyDescent="0.25">
      <c r="A48" s="1" t="s">
        <v>95</v>
      </c>
      <c r="B48" s="1" t="s">
        <v>128</v>
      </c>
      <c r="C48" s="1" t="s">
        <v>27</v>
      </c>
      <c r="D48" s="4">
        <v>0.5</v>
      </c>
    </row>
    <row r="49" spans="1:4" x14ac:dyDescent="0.25">
      <c r="A49" s="1" t="s">
        <v>96</v>
      </c>
      <c r="B49" s="1" t="s">
        <v>129</v>
      </c>
      <c r="C49" s="1" t="s">
        <v>27</v>
      </c>
      <c r="D49" s="4">
        <v>0.5</v>
      </c>
    </row>
    <row r="50" spans="1:4" x14ac:dyDescent="0.25">
      <c r="A50" s="1" t="s">
        <v>49</v>
      </c>
      <c r="B50" s="1" t="s">
        <v>130</v>
      </c>
      <c r="C50" s="1" t="s">
        <v>27</v>
      </c>
      <c r="D50" s="4">
        <v>0.5</v>
      </c>
    </row>
    <row r="51" spans="1:4" x14ac:dyDescent="0.25">
      <c r="A51" s="1" t="s">
        <v>97</v>
      </c>
      <c r="B51" s="1" t="s">
        <v>131</v>
      </c>
      <c r="C51" s="1" t="s">
        <v>27</v>
      </c>
      <c r="D51" s="4">
        <v>0.5</v>
      </c>
    </row>
    <row r="52" spans="1:4" x14ac:dyDescent="0.25">
      <c r="A52" s="1" t="s">
        <v>98</v>
      </c>
      <c r="B52" s="1" t="s">
        <v>132</v>
      </c>
      <c r="C52" s="1" t="s">
        <v>27</v>
      </c>
      <c r="D52" s="4">
        <v>0.5</v>
      </c>
    </row>
    <row r="53" spans="1:4" x14ac:dyDescent="0.25">
      <c r="D53" s="4"/>
    </row>
    <row r="54" spans="1:4" x14ac:dyDescent="0.25">
      <c r="A54" s="1" t="s">
        <v>99</v>
      </c>
      <c r="B54" s="1" t="s">
        <v>133</v>
      </c>
      <c r="C54" s="1" t="s">
        <v>27</v>
      </c>
      <c r="D54" s="4">
        <v>0.5</v>
      </c>
    </row>
    <row r="55" spans="1:4" s="14" customFormat="1" x14ac:dyDescent="0.25">
      <c r="A55" s="11" t="s">
        <v>196</v>
      </c>
      <c r="B55" s="11" t="s">
        <v>134</v>
      </c>
      <c r="C55" s="11" t="s">
        <v>27</v>
      </c>
      <c r="D55" s="13">
        <v>0.5</v>
      </c>
    </row>
    <row r="56" spans="1:4" x14ac:dyDescent="0.25">
      <c r="A56" s="7" t="s">
        <v>155</v>
      </c>
      <c r="B56" s="7" t="s">
        <v>135</v>
      </c>
      <c r="C56" s="7" t="s">
        <v>27</v>
      </c>
      <c r="D56" s="9">
        <v>0.5</v>
      </c>
    </row>
    <row r="57" spans="1:4" s="19" customFormat="1" x14ac:dyDescent="0.25">
      <c r="A57" s="7" t="s">
        <v>156</v>
      </c>
      <c r="B57" s="7" t="s">
        <v>136</v>
      </c>
      <c r="C57" s="7" t="s">
        <v>27</v>
      </c>
      <c r="D57" s="9">
        <v>0.5</v>
      </c>
    </row>
    <row r="58" spans="1:4" x14ac:dyDescent="0.25">
      <c r="A58" s="1" t="s">
        <v>100</v>
      </c>
      <c r="B58" s="1" t="s">
        <v>137</v>
      </c>
      <c r="C58" s="1" t="s">
        <v>27</v>
      </c>
      <c r="D58" s="4">
        <v>0.5</v>
      </c>
    </row>
    <row r="59" spans="1:4" s="14" customFormat="1" x14ac:dyDescent="0.25">
      <c r="A59" s="11" t="s">
        <v>197</v>
      </c>
      <c r="B59" s="11" t="s">
        <v>138</v>
      </c>
      <c r="C59" s="11" t="s">
        <v>27</v>
      </c>
      <c r="D59" s="13">
        <v>0.5</v>
      </c>
    </row>
    <row r="60" spans="1:4" s="14" customFormat="1" x14ac:dyDescent="0.25">
      <c r="A60" s="11" t="s">
        <v>198</v>
      </c>
      <c r="B60" s="11" t="s">
        <v>139</v>
      </c>
      <c r="C60" s="11" t="s">
        <v>27</v>
      </c>
      <c r="D60" s="13">
        <v>0.5</v>
      </c>
    </row>
    <row r="61" spans="1:4" s="14" customFormat="1" x14ac:dyDescent="0.25">
      <c r="A61" s="11" t="s">
        <v>199</v>
      </c>
      <c r="B61" s="11" t="s">
        <v>140</v>
      </c>
      <c r="C61" s="11" t="s">
        <v>27</v>
      </c>
      <c r="D61" s="13">
        <v>0.5</v>
      </c>
    </row>
    <row r="62" spans="1:4" s="19" customFormat="1" x14ac:dyDescent="0.25">
      <c r="A62" s="7" t="s">
        <v>200</v>
      </c>
      <c r="B62" s="7" t="s">
        <v>141</v>
      </c>
      <c r="C62" s="7" t="s">
        <v>27</v>
      </c>
      <c r="D62" s="9">
        <v>0.5</v>
      </c>
    </row>
    <row r="63" spans="1:4" x14ac:dyDescent="0.25">
      <c r="A63" s="1" t="s">
        <v>101</v>
      </c>
      <c r="B63" s="1" t="s">
        <v>142</v>
      </c>
      <c r="C63" s="1" t="s">
        <v>27</v>
      </c>
      <c r="D63" s="4">
        <v>0.5</v>
      </c>
    </row>
    <row r="64" spans="1:4" s="14" customFormat="1" x14ac:dyDescent="0.25">
      <c r="A64" s="11" t="s">
        <v>201</v>
      </c>
      <c r="B64" s="11" t="s">
        <v>143</v>
      </c>
      <c r="C64" s="11" t="s">
        <v>27</v>
      </c>
      <c r="D64" s="13">
        <v>0.5</v>
      </c>
    </row>
    <row r="65" spans="1:4" x14ac:dyDescent="0.25">
      <c r="A65" s="1" t="s">
        <v>102</v>
      </c>
      <c r="B65" s="1" t="s">
        <v>144</v>
      </c>
      <c r="C65" s="1" t="s">
        <v>27</v>
      </c>
      <c r="D65" s="4">
        <v>0.5</v>
      </c>
    </row>
    <row r="66" spans="1:4" x14ac:dyDescent="0.25">
      <c r="A66" s="1" t="s">
        <v>103</v>
      </c>
      <c r="B66" s="1" t="s">
        <v>145</v>
      </c>
      <c r="C66" s="1" t="s">
        <v>27</v>
      </c>
      <c r="D66" s="4">
        <v>0.5</v>
      </c>
    </row>
    <row r="67" spans="1:4" x14ac:dyDescent="0.25">
      <c r="A67" s="1" t="s">
        <v>104</v>
      </c>
      <c r="B67" s="1" t="s">
        <v>146</v>
      </c>
      <c r="C67" s="1" t="s">
        <v>27</v>
      </c>
      <c r="D67" s="4">
        <v>0.5</v>
      </c>
    </row>
    <row r="68" spans="1:4" s="14" customFormat="1" x14ac:dyDescent="0.25">
      <c r="A68" s="11" t="s">
        <v>202</v>
      </c>
      <c r="B68" s="11" t="s">
        <v>147</v>
      </c>
      <c r="C68" s="11" t="s">
        <v>27</v>
      </c>
      <c r="D68" s="13">
        <v>0.5</v>
      </c>
    </row>
    <row r="69" spans="1:4" s="14" customFormat="1" x14ac:dyDescent="0.25">
      <c r="A69" s="11" t="s">
        <v>203</v>
      </c>
      <c r="B69" s="11" t="s">
        <v>148</v>
      </c>
      <c r="C69" s="11" t="s">
        <v>27</v>
      </c>
      <c r="D69" s="13">
        <v>0.5</v>
      </c>
    </row>
    <row r="70" spans="1:4" s="19" customFormat="1" x14ac:dyDescent="0.25">
      <c r="A70" s="7" t="s">
        <v>205</v>
      </c>
      <c r="B70" s="7" t="s">
        <v>149</v>
      </c>
      <c r="C70" s="7" t="s">
        <v>27</v>
      </c>
      <c r="D70" s="9">
        <v>0.5</v>
      </c>
    </row>
    <row r="71" spans="1:4" s="19" customFormat="1" x14ac:dyDescent="0.25">
      <c r="A71" s="7" t="s">
        <v>204</v>
      </c>
      <c r="B71" s="7" t="s">
        <v>161</v>
      </c>
      <c r="C71" s="7" t="s">
        <v>27</v>
      </c>
      <c r="D71" s="9">
        <v>0.5</v>
      </c>
    </row>
    <row r="72" spans="1:4" x14ac:dyDescent="0.25">
      <c r="A72" s="1" t="s">
        <v>160</v>
      </c>
      <c r="B72" s="1" t="s">
        <v>162</v>
      </c>
      <c r="C72" s="1" t="s">
        <v>27</v>
      </c>
      <c r="D72" s="4">
        <v>0.5</v>
      </c>
    </row>
    <row r="73" spans="1:4" s="14" customFormat="1" x14ac:dyDescent="0.25">
      <c r="A73" s="11" t="s">
        <v>195</v>
      </c>
      <c r="B73" s="11" t="s">
        <v>150</v>
      </c>
      <c r="C73" s="11" t="s">
        <v>27</v>
      </c>
      <c r="D73" s="13">
        <v>0.5</v>
      </c>
    </row>
    <row r="74" spans="1:4" x14ac:dyDescent="0.25">
      <c r="A74" s="7" t="s">
        <v>157</v>
      </c>
      <c r="B74" s="7" t="s">
        <v>151</v>
      </c>
      <c r="C74" s="7" t="s">
        <v>27</v>
      </c>
      <c r="D74" s="9">
        <v>0.5</v>
      </c>
    </row>
    <row r="75" spans="1:4" x14ac:dyDescent="0.25">
      <c r="A75" s="1" t="s">
        <v>123</v>
      </c>
      <c r="B75" s="1" t="s">
        <v>123</v>
      </c>
      <c r="C75" s="1" t="s">
        <v>123</v>
      </c>
      <c r="D75" s="4" t="s">
        <v>123</v>
      </c>
    </row>
    <row r="76" spans="1:4" x14ac:dyDescent="0.25">
      <c r="A76" s="1" t="s">
        <v>170</v>
      </c>
      <c r="B76" s="1" t="s">
        <v>42</v>
      </c>
      <c r="C76" s="1" t="s">
        <v>5</v>
      </c>
    </row>
    <row r="79" spans="1:4" x14ac:dyDescent="0.25">
      <c r="A79" s="6"/>
      <c r="B79" s="10"/>
    </row>
  </sheetData>
  <phoneticPr fontId="5" type="noConversion"/>
  <pageMargins left="0" right="0" top="0.39409448818897636" bottom="0.39409448818897636" header="0" footer="0"/>
  <pageSetup paperSize="9" scale="54" pageOrder="overThenDown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88"/>
  <sheetViews>
    <sheetView tabSelected="1" topLeftCell="AC1" zoomScaleNormal="100" workbookViewId="0">
      <pane ySplit="1" topLeftCell="A44" activePane="bottomLeft" state="frozen"/>
      <selection pane="bottomLeft" activeCell="AW46" sqref="AW46"/>
    </sheetView>
  </sheetViews>
  <sheetFormatPr baseColWidth="10" defaultColWidth="11.42578125" defaultRowHeight="15" x14ac:dyDescent="0.25"/>
  <cols>
    <col min="1" max="1" width="19.140625" style="25" customWidth="1"/>
    <col min="2" max="2" width="4.140625" style="25" bestFit="1" customWidth="1"/>
    <col min="3" max="3" width="8.42578125" style="25" bestFit="1" customWidth="1"/>
    <col min="4" max="4" width="10.5703125" style="25" customWidth="1"/>
    <col min="5" max="5" width="17.42578125" style="25" customWidth="1"/>
    <col min="6" max="6" width="18.85546875" style="25" customWidth="1"/>
    <col min="7" max="7" width="30.5703125" style="25" customWidth="1"/>
    <col min="8" max="8" width="8.42578125" style="25" customWidth="1"/>
    <col min="9" max="9" width="7" style="25" customWidth="1"/>
    <col min="10" max="10" width="9" style="28" customWidth="1"/>
    <col min="11" max="11" width="6.85546875" style="25" customWidth="1"/>
    <col min="12" max="12" width="9.5703125" style="25" customWidth="1"/>
    <col min="13" max="17" width="5.5703125" style="25" customWidth="1"/>
    <col min="18" max="128" width="8.5703125" style="25" customWidth="1"/>
    <col min="129" max="16384" width="11.42578125" style="25"/>
  </cols>
  <sheetData>
    <row r="1" spans="1:128" s="24" customFormat="1" ht="15.75" thickBot="1" x14ac:dyDescent="0.3">
      <c r="A1" s="20" t="s">
        <v>4</v>
      </c>
      <c r="B1" s="20" t="s">
        <v>51</v>
      </c>
      <c r="C1" s="20" t="s">
        <v>52</v>
      </c>
      <c r="D1" s="20" t="s">
        <v>53</v>
      </c>
      <c r="E1" s="20" t="s">
        <v>357</v>
      </c>
      <c r="F1" s="20" t="s">
        <v>9</v>
      </c>
      <c r="G1" s="20" t="s">
        <v>152</v>
      </c>
      <c r="H1" s="20" t="s">
        <v>54</v>
      </c>
      <c r="I1" s="20" t="s">
        <v>13</v>
      </c>
      <c r="J1" s="22" t="s">
        <v>15</v>
      </c>
      <c r="K1" s="20" t="s">
        <v>17</v>
      </c>
      <c r="L1" s="20" t="s">
        <v>358</v>
      </c>
      <c r="M1" s="20" t="s">
        <v>46</v>
      </c>
      <c r="N1" s="20" t="s">
        <v>538</v>
      </c>
      <c r="O1" s="20" t="s">
        <v>520</v>
      </c>
      <c r="P1" s="20" t="s">
        <v>21</v>
      </c>
      <c r="Q1" s="20" t="s">
        <v>24</v>
      </c>
      <c r="R1" s="23" t="s">
        <v>170</v>
      </c>
      <c r="S1" s="21" t="s">
        <v>26</v>
      </c>
      <c r="T1" s="22" t="s">
        <v>28</v>
      </c>
      <c r="U1" s="22" t="s">
        <v>29</v>
      </c>
      <c r="V1" s="22" t="s">
        <v>55</v>
      </c>
      <c r="W1" s="22" t="s">
        <v>43</v>
      </c>
      <c r="X1" s="22" t="s">
        <v>32</v>
      </c>
      <c r="Y1" s="22" t="s">
        <v>33</v>
      </c>
      <c r="Z1" s="22" t="s">
        <v>34</v>
      </c>
      <c r="AA1" s="22" t="s">
        <v>35</v>
      </c>
      <c r="AB1" s="22" t="s">
        <v>308</v>
      </c>
      <c r="AC1" s="22" t="s">
        <v>56</v>
      </c>
      <c r="AD1" s="22" t="s">
        <v>120</v>
      </c>
      <c r="AE1" s="22" t="s">
        <v>57</v>
      </c>
      <c r="AF1" s="22" t="s">
        <v>58</v>
      </c>
      <c r="AG1" s="22" t="s">
        <v>59</v>
      </c>
      <c r="AH1" s="22" t="s">
        <v>121</v>
      </c>
      <c r="AI1" s="22" t="s">
        <v>122</v>
      </c>
      <c r="AJ1" s="22" t="s">
        <v>309</v>
      </c>
      <c r="AK1" s="22" t="s">
        <v>310</v>
      </c>
      <c r="AL1" s="22" t="s">
        <v>175</v>
      </c>
      <c r="AM1" s="22" t="s">
        <v>37</v>
      </c>
      <c r="AN1" s="22" t="s">
        <v>38</v>
      </c>
      <c r="AO1" s="20" t="s">
        <v>311</v>
      </c>
      <c r="AP1" s="20" t="s">
        <v>61</v>
      </c>
      <c r="AQ1" s="20" t="s">
        <v>44</v>
      </c>
      <c r="AR1" s="20" t="s">
        <v>39</v>
      </c>
      <c r="AS1" s="20" t="s">
        <v>312</v>
      </c>
      <c r="AT1" s="20" t="s">
        <v>313</v>
      </c>
      <c r="AU1" s="20" t="s">
        <v>314</v>
      </c>
      <c r="AV1" s="20" t="s">
        <v>315</v>
      </c>
      <c r="AW1" s="20" t="s">
        <v>62</v>
      </c>
      <c r="AX1" s="20" t="s">
        <v>316</v>
      </c>
      <c r="AY1" s="20" t="s">
        <v>63</v>
      </c>
      <c r="AZ1" s="20" t="s">
        <v>64</v>
      </c>
      <c r="BA1" s="20" t="s">
        <v>65</v>
      </c>
      <c r="BB1" s="20" t="s">
        <v>317</v>
      </c>
      <c r="BC1" s="20" t="s">
        <v>318</v>
      </c>
      <c r="BD1" s="20" t="s">
        <v>319</v>
      </c>
      <c r="BE1" s="20" t="s">
        <v>320</v>
      </c>
      <c r="BF1" s="20" t="s">
        <v>321</v>
      </c>
      <c r="BG1" s="20" t="s">
        <v>66</v>
      </c>
      <c r="BH1" s="20" t="s">
        <v>67</v>
      </c>
      <c r="BI1" s="20" t="s">
        <v>322</v>
      </c>
      <c r="BJ1" s="20" t="s">
        <v>68</v>
      </c>
      <c r="BK1" s="20" t="s">
        <v>69</v>
      </c>
      <c r="BL1" s="20" t="s">
        <v>70</v>
      </c>
      <c r="BM1" s="20" t="s">
        <v>323</v>
      </c>
      <c r="BN1" s="20" t="s">
        <v>324</v>
      </c>
      <c r="BO1" s="20" t="s">
        <v>325</v>
      </c>
      <c r="BP1" s="20" t="s">
        <v>326</v>
      </c>
      <c r="BQ1" s="20" t="s">
        <v>71</v>
      </c>
      <c r="BR1" s="20" t="s">
        <v>327</v>
      </c>
      <c r="BS1" s="20" t="s">
        <v>72</v>
      </c>
      <c r="BT1" s="20" t="s">
        <v>73</v>
      </c>
      <c r="BU1" s="20" t="s">
        <v>74</v>
      </c>
      <c r="BV1" s="20" t="s">
        <v>328</v>
      </c>
      <c r="BW1" s="20" t="s">
        <v>329</v>
      </c>
      <c r="BX1" s="20" t="s">
        <v>330</v>
      </c>
      <c r="BY1" s="20" t="s">
        <v>331</v>
      </c>
      <c r="BZ1" s="20" t="s">
        <v>332</v>
      </c>
      <c r="CA1" s="20" t="s">
        <v>75</v>
      </c>
      <c r="CB1" s="20" t="s">
        <v>76</v>
      </c>
      <c r="CC1" s="20" t="s">
        <v>333</v>
      </c>
      <c r="CD1" s="20" t="s">
        <v>77</v>
      </c>
      <c r="CE1" s="20" t="s">
        <v>78</v>
      </c>
      <c r="CF1" s="20" t="s">
        <v>79</v>
      </c>
      <c r="CG1" s="20" t="s">
        <v>334</v>
      </c>
      <c r="CH1" s="20" t="s">
        <v>335</v>
      </c>
      <c r="CI1" s="20" t="s">
        <v>336</v>
      </c>
      <c r="CJ1" s="20" t="s">
        <v>337</v>
      </c>
      <c r="CK1" s="20" t="s">
        <v>80</v>
      </c>
      <c r="CL1" s="20" t="s">
        <v>338</v>
      </c>
      <c r="CM1" s="20" t="s">
        <v>81</v>
      </c>
      <c r="CN1" s="20" t="s">
        <v>82</v>
      </c>
      <c r="CO1" s="20" t="s">
        <v>83</v>
      </c>
      <c r="CP1" s="20" t="s">
        <v>339</v>
      </c>
      <c r="CQ1" s="20" t="s">
        <v>340</v>
      </c>
      <c r="CR1" s="20" t="s">
        <v>341</v>
      </c>
      <c r="CS1" s="20" t="s">
        <v>342</v>
      </c>
      <c r="CT1" s="20" t="s">
        <v>343</v>
      </c>
      <c r="CU1" s="20" t="s">
        <v>84</v>
      </c>
      <c r="CV1" s="20" t="s">
        <v>85</v>
      </c>
      <c r="CW1" s="20" t="s">
        <v>344</v>
      </c>
      <c r="CX1" s="20" t="s">
        <v>86</v>
      </c>
      <c r="CY1" s="20" t="s">
        <v>87</v>
      </c>
      <c r="CZ1" s="20" t="s">
        <v>88</v>
      </c>
      <c r="DA1" s="20" t="s">
        <v>345</v>
      </c>
      <c r="DB1" s="20" t="s">
        <v>346</v>
      </c>
      <c r="DC1" s="20" t="s">
        <v>347</v>
      </c>
      <c r="DD1" s="20" t="s">
        <v>348</v>
      </c>
      <c r="DE1" s="20" t="s">
        <v>89</v>
      </c>
      <c r="DF1" s="20" t="s">
        <v>349</v>
      </c>
      <c r="DG1" s="20" t="s">
        <v>90</v>
      </c>
      <c r="DH1" s="20" t="s">
        <v>91</v>
      </c>
      <c r="DI1" s="20" t="s">
        <v>92</v>
      </c>
      <c r="DJ1" s="20" t="s">
        <v>350</v>
      </c>
      <c r="DK1" s="20" t="s">
        <v>351</v>
      </c>
      <c r="DL1" s="20" t="s">
        <v>352</v>
      </c>
      <c r="DM1" s="20" t="s">
        <v>353</v>
      </c>
      <c r="DN1" s="20" t="s">
        <v>354</v>
      </c>
      <c r="DO1" s="23" t="s">
        <v>40</v>
      </c>
      <c r="DP1" s="20" t="s">
        <v>47</v>
      </c>
      <c r="DQ1" s="20" t="s">
        <v>48</v>
      </c>
      <c r="DR1" s="20" t="s">
        <v>93</v>
      </c>
      <c r="DS1" s="20" t="s">
        <v>94</v>
      </c>
      <c r="DT1" s="20" t="s">
        <v>95</v>
      </c>
      <c r="DU1" s="20" t="s">
        <v>96</v>
      </c>
      <c r="DV1" s="20" t="s">
        <v>49</v>
      </c>
      <c r="DW1" s="20" t="s">
        <v>97</v>
      </c>
      <c r="DX1" s="20" t="s">
        <v>98</v>
      </c>
    </row>
    <row r="2" spans="1:128" s="26" customFormat="1" x14ac:dyDescent="0.25">
      <c r="A2" s="25" t="s">
        <v>550</v>
      </c>
      <c r="B2" s="25">
        <v>1</v>
      </c>
      <c r="C2" s="25">
        <v>1993</v>
      </c>
      <c r="D2" s="25" t="s">
        <v>8</v>
      </c>
      <c r="E2" s="25" t="s">
        <v>373</v>
      </c>
      <c r="F2" s="25" t="s">
        <v>11</v>
      </c>
      <c r="G2" s="25" t="s">
        <v>447</v>
      </c>
      <c r="H2" s="25">
        <v>1</v>
      </c>
      <c r="I2" s="25">
        <v>306</v>
      </c>
      <c r="J2" s="28">
        <f>199/303*100</f>
        <v>65.67656765676567</v>
      </c>
      <c r="K2" s="29">
        <f>27.9*J2/100+28*(1-J2/100)</f>
        <v>27.934323432343234</v>
      </c>
      <c r="L2" s="25">
        <v>0</v>
      </c>
      <c r="M2" s="25">
        <v>5</v>
      </c>
      <c r="N2" s="25">
        <v>3</v>
      </c>
      <c r="O2" s="25">
        <v>1</v>
      </c>
      <c r="P2" s="25">
        <v>3</v>
      </c>
      <c r="Q2" s="25">
        <v>2</v>
      </c>
      <c r="R2" s="25"/>
      <c r="S2" s="25">
        <v>0.69</v>
      </c>
      <c r="T2" s="25">
        <v>0</v>
      </c>
      <c r="U2" s="25">
        <v>0.36</v>
      </c>
      <c r="V2" s="25">
        <v>0</v>
      </c>
      <c r="W2" s="25">
        <v>0</v>
      </c>
      <c r="X2" s="25">
        <v>0.54</v>
      </c>
      <c r="Y2" s="25">
        <v>0.67</v>
      </c>
      <c r="Z2" s="25">
        <v>0</v>
      </c>
      <c r="AA2" s="25">
        <v>0.69</v>
      </c>
      <c r="AB2" s="25">
        <v>0</v>
      </c>
      <c r="AC2" s="25">
        <v>0</v>
      </c>
      <c r="AD2" s="25">
        <v>0</v>
      </c>
      <c r="AE2" s="25">
        <v>0.63</v>
      </c>
      <c r="AF2" s="25">
        <v>0.6</v>
      </c>
      <c r="AG2" s="25">
        <v>0</v>
      </c>
      <c r="AH2" s="25">
        <v>0</v>
      </c>
      <c r="AI2" s="25">
        <v>0</v>
      </c>
      <c r="AJ2" s="25">
        <v>0</v>
      </c>
      <c r="AK2" s="25">
        <v>0</v>
      </c>
      <c r="AL2" s="25">
        <v>0</v>
      </c>
      <c r="AM2" s="25">
        <v>0</v>
      </c>
      <c r="AN2" s="25">
        <v>0.78</v>
      </c>
      <c r="AO2" s="25">
        <v>0</v>
      </c>
      <c r="AP2" s="25">
        <v>0.76</v>
      </c>
      <c r="AQ2" s="25">
        <v>0</v>
      </c>
      <c r="AR2" s="25">
        <v>0</v>
      </c>
      <c r="AS2" s="25">
        <v>0</v>
      </c>
      <c r="AT2" s="25">
        <v>0</v>
      </c>
      <c r="AU2" s="25">
        <v>0</v>
      </c>
      <c r="AV2" s="25">
        <v>0</v>
      </c>
      <c r="AW2" s="25">
        <v>0.63</v>
      </c>
      <c r="AX2" s="25">
        <v>0.6</v>
      </c>
      <c r="AY2" s="25">
        <v>0</v>
      </c>
      <c r="AZ2" s="25">
        <v>0</v>
      </c>
      <c r="BA2" s="25">
        <v>0</v>
      </c>
      <c r="BB2" s="25">
        <v>0</v>
      </c>
      <c r="BC2" s="25">
        <v>0.5</v>
      </c>
      <c r="BD2" s="25">
        <v>0</v>
      </c>
      <c r="BE2" s="25">
        <v>0</v>
      </c>
      <c r="BF2" s="25">
        <v>0</v>
      </c>
      <c r="BG2" s="25">
        <v>0</v>
      </c>
      <c r="BH2" s="25">
        <v>0</v>
      </c>
      <c r="BI2" s="25">
        <v>0</v>
      </c>
      <c r="BJ2" s="25">
        <v>0</v>
      </c>
      <c r="BK2" s="25">
        <v>0.33</v>
      </c>
      <c r="BL2" s="25">
        <v>0</v>
      </c>
      <c r="BM2" s="25">
        <v>0</v>
      </c>
      <c r="BN2" s="25">
        <v>0.32</v>
      </c>
      <c r="BO2" s="25">
        <v>0</v>
      </c>
      <c r="BP2" s="25">
        <v>0.24</v>
      </c>
      <c r="BQ2" s="25">
        <v>0</v>
      </c>
      <c r="BR2" s="25">
        <v>0</v>
      </c>
      <c r="BS2" s="25">
        <v>0</v>
      </c>
      <c r="BT2" s="25">
        <v>0</v>
      </c>
      <c r="BU2" s="25">
        <v>0.52</v>
      </c>
      <c r="BV2" s="25">
        <v>0.53</v>
      </c>
      <c r="BW2" s="25">
        <v>0</v>
      </c>
      <c r="BX2" s="25">
        <v>0.44</v>
      </c>
      <c r="BY2" s="25">
        <v>0.36</v>
      </c>
      <c r="BZ2" s="25">
        <v>0.54</v>
      </c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>
        <v>0.61</v>
      </c>
      <c r="DP2" s="25">
        <v>0.12</v>
      </c>
      <c r="DQ2" s="25"/>
      <c r="DR2" s="25"/>
      <c r="DS2" s="25">
        <v>0.46</v>
      </c>
      <c r="DT2" s="25"/>
      <c r="DU2" s="25"/>
      <c r="DV2" s="25"/>
      <c r="DW2" s="25"/>
      <c r="DX2" s="25"/>
    </row>
    <row r="3" spans="1:128" x14ac:dyDescent="0.25">
      <c r="A3" s="25" t="s">
        <v>551</v>
      </c>
      <c r="B3" s="25">
        <v>1</v>
      </c>
      <c r="C3" s="25">
        <v>1993</v>
      </c>
      <c r="D3" s="25" t="s">
        <v>366</v>
      </c>
      <c r="E3" s="25" t="s">
        <v>372</v>
      </c>
      <c r="F3" s="25" t="s">
        <v>362</v>
      </c>
      <c r="G3" s="25" t="s">
        <v>549</v>
      </c>
      <c r="H3" s="25">
        <v>1</v>
      </c>
      <c r="I3" s="25">
        <v>292</v>
      </c>
      <c r="J3" s="28">
        <f>179/292*100</f>
        <v>61.301369863013697</v>
      </c>
      <c r="K3" s="29">
        <f>19.4*J3/100+19.6*(1-J3/100)</f>
        <v>19.477397260273971</v>
      </c>
      <c r="L3" s="25">
        <v>0</v>
      </c>
      <c r="M3" s="25">
        <v>5</v>
      </c>
      <c r="N3" s="25">
        <v>3</v>
      </c>
      <c r="O3" s="25">
        <v>1</v>
      </c>
      <c r="P3" s="25">
        <v>3</v>
      </c>
      <c r="Q3" s="25">
        <v>2</v>
      </c>
      <c r="S3" s="25">
        <v>0.57999999999999996</v>
      </c>
      <c r="T3" s="25">
        <v>0</v>
      </c>
      <c r="U3" s="25">
        <v>0.28000000000000003</v>
      </c>
      <c r="V3" s="25">
        <v>0</v>
      </c>
      <c r="W3" s="25">
        <v>0</v>
      </c>
      <c r="X3" s="25">
        <v>0.66</v>
      </c>
      <c r="Y3" s="25">
        <v>0.45</v>
      </c>
      <c r="Z3" s="25">
        <v>0</v>
      </c>
      <c r="AA3" s="25">
        <v>0.6</v>
      </c>
      <c r="AB3" s="25">
        <v>0</v>
      </c>
      <c r="AC3" s="25">
        <v>0</v>
      </c>
      <c r="AD3" s="25">
        <v>0</v>
      </c>
      <c r="AE3" s="25">
        <v>0.68</v>
      </c>
      <c r="AF3" s="25">
        <v>0.59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0.6</v>
      </c>
      <c r="AO3" s="25">
        <v>0</v>
      </c>
      <c r="AP3" s="25">
        <v>0.5</v>
      </c>
      <c r="AQ3" s="25">
        <v>0</v>
      </c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0.68</v>
      </c>
      <c r="AX3" s="25">
        <v>0.59</v>
      </c>
      <c r="AY3" s="25">
        <v>0</v>
      </c>
      <c r="AZ3" s="25">
        <v>0</v>
      </c>
      <c r="BA3" s="25">
        <v>0</v>
      </c>
      <c r="BB3" s="25">
        <v>0</v>
      </c>
      <c r="BC3" s="25">
        <v>0.56999999999999995</v>
      </c>
      <c r="BD3" s="25">
        <v>0</v>
      </c>
      <c r="BE3" s="25">
        <v>0</v>
      </c>
      <c r="BF3" s="25">
        <v>0</v>
      </c>
      <c r="BG3" s="25">
        <v>0</v>
      </c>
      <c r="BH3" s="25">
        <v>0</v>
      </c>
      <c r="BI3" s="25">
        <v>0</v>
      </c>
      <c r="BJ3" s="25">
        <v>0</v>
      </c>
      <c r="BK3" s="25">
        <v>0.35</v>
      </c>
      <c r="BL3" s="25">
        <v>0</v>
      </c>
      <c r="BM3" s="25">
        <v>0</v>
      </c>
      <c r="BN3" s="25">
        <v>0.3</v>
      </c>
      <c r="BO3" s="25">
        <v>0</v>
      </c>
      <c r="BP3" s="25">
        <v>0.52</v>
      </c>
      <c r="BQ3" s="25">
        <v>0</v>
      </c>
      <c r="BR3" s="25">
        <v>0</v>
      </c>
      <c r="BS3" s="25">
        <v>0</v>
      </c>
      <c r="BT3" s="25">
        <v>0</v>
      </c>
      <c r="BU3" s="25">
        <v>0.48</v>
      </c>
      <c r="BV3" s="25">
        <v>0.14000000000000001</v>
      </c>
      <c r="BW3" s="25">
        <v>0</v>
      </c>
      <c r="BX3" s="25">
        <v>0.57999999999999996</v>
      </c>
      <c r="BY3" s="25">
        <v>0.68</v>
      </c>
      <c r="BZ3" s="25">
        <v>0.37</v>
      </c>
      <c r="DO3" s="25">
        <v>0.71</v>
      </c>
      <c r="DP3" s="25">
        <v>0.28000000000000003</v>
      </c>
      <c r="DS3" s="25">
        <v>0.39</v>
      </c>
    </row>
    <row r="4" spans="1:128" x14ac:dyDescent="0.25">
      <c r="A4" s="25" t="s">
        <v>552</v>
      </c>
      <c r="B4" s="25">
        <v>1</v>
      </c>
      <c r="C4" s="25">
        <v>1993</v>
      </c>
      <c r="D4" s="25" t="s">
        <v>363</v>
      </c>
      <c r="E4" s="25" t="s">
        <v>372</v>
      </c>
      <c r="F4" s="25" t="s">
        <v>362</v>
      </c>
      <c r="G4" s="25" t="s">
        <v>549</v>
      </c>
      <c r="H4" s="25">
        <v>1</v>
      </c>
      <c r="I4" s="25">
        <v>405</v>
      </c>
      <c r="J4" s="28">
        <f>220/405*100</f>
        <v>54.320987654320987</v>
      </c>
      <c r="K4" s="29">
        <f>20.9*J4/100+21*(1-J4/100)</f>
        <v>20.945679012345678</v>
      </c>
      <c r="L4" s="25">
        <v>0</v>
      </c>
      <c r="M4" s="25">
        <v>5</v>
      </c>
      <c r="N4" s="25">
        <v>3</v>
      </c>
      <c r="O4" s="25">
        <v>1</v>
      </c>
      <c r="P4" s="25">
        <v>3</v>
      </c>
      <c r="Q4" s="25">
        <v>2</v>
      </c>
      <c r="S4" s="25">
        <v>0.62</v>
      </c>
      <c r="T4" s="25">
        <v>0</v>
      </c>
      <c r="U4" s="25">
        <v>0.38</v>
      </c>
      <c r="V4" s="25">
        <v>0</v>
      </c>
      <c r="W4" s="25">
        <v>0</v>
      </c>
      <c r="X4" s="25">
        <v>0.63</v>
      </c>
      <c r="Y4" s="25">
        <v>0.51</v>
      </c>
      <c r="Z4" s="25">
        <v>0</v>
      </c>
      <c r="AA4" s="25">
        <v>0.7</v>
      </c>
      <c r="AB4" s="25">
        <v>0</v>
      </c>
      <c r="AC4" s="25">
        <v>0</v>
      </c>
      <c r="AD4" s="25">
        <v>0</v>
      </c>
      <c r="AE4" s="25">
        <v>0.73</v>
      </c>
      <c r="AF4" s="25">
        <v>0.65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0.69</v>
      </c>
      <c r="AO4" s="25">
        <v>0</v>
      </c>
      <c r="AP4" s="25">
        <v>0.74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0.61</v>
      </c>
      <c r="AX4" s="25">
        <v>0.61</v>
      </c>
      <c r="AY4" s="25">
        <v>0</v>
      </c>
      <c r="AZ4" s="25">
        <v>0</v>
      </c>
      <c r="BA4" s="25">
        <v>0</v>
      </c>
      <c r="BB4" s="25">
        <v>0</v>
      </c>
      <c r="BC4" s="25">
        <v>0.52</v>
      </c>
      <c r="BD4" s="25">
        <v>0</v>
      </c>
      <c r="BE4" s="25">
        <v>0</v>
      </c>
      <c r="BF4" s="25">
        <v>0</v>
      </c>
      <c r="BG4" s="25">
        <v>0</v>
      </c>
      <c r="BH4" s="25">
        <v>0</v>
      </c>
      <c r="BI4" s="25">
        <v>0</v>
      </c>
      <c r="BJ4" s="25">
        <v>0</v>
      </c>
      <c r="BK4" s="25">
        <v>0.48</v>
      </c>
      <c r="BL4" s="25">
        <v>0</v>
      </c>
      <c r="BM4" s="25">
        <v>0</v>
      </c>
      <c r="BN4" s="25">
        <v>0.41</v>
      </c>
      <c r="BO4" s="25">
        <v>0</v>
      </c>
      <c r="BP4" s="25">
        <v>0.54</v>
      </c>
      <c r="BQ4" s="25">
        <v>0</v>
      </c>
      <c r="BR4" s="25">
        <v>0</v>
      </c>
      <c r="BS4" s="25">
        <v>0</v>
      </c>
      <c r="BT4" s="25">
        <v>0</v>
      </c>
      <c r="BU4" s="25">
        <v>0.42</v>
      </c>
      <c r="BV4" s="25">
        <v>0.39</v>
      </c>
      <c r="BW4" s="25">
        <v>0</v>
      </c>
      <c r="BX4" s="25">
        <v>0.43</v>
      </c>
      <c r="BY4" s="25">
        <v>0.69</v>
      </c>
      <c r="BZ4" s="25">
        <v>0.51</v>
      </c>
      <c r="DO4" s="25">
        <v>0.59</v>
      </c>
      <c r="DP4" s="25">
        <v>0.17</v>
      </c>
      <c r="DS4" s="25">
        <v>0.4</v>
      </c>
    </row>
    <row r="5" spans="1:128" x14ac:dyDescent="0.25">
      <c r="A5" s="26" t="s">
        <v>426</v>
      </c>
      <c r="B5" s="26">
        <v>2</v>
      </c>
      <c r="C5" s="26">
        <v>1994</v>
      </c>
      <c r="D5" s="26" t="s">
        <v>363</v>
      </c>
      <c r="E5" s="26" t="s">
        <v>372</v>
      </c>
      <c r="F5" s="26" t="s">
        <v>362</v>
      </c>
      <c r="G5" s="26" t="s">
        <v>364</v>
      </c>
      <c r="H5" s="26">
        <v>1</v>
      </c>
      <c r="I5" s="26">
        <v>965</v>
      </c>
      <c r="J5" s="27">
        <f xml:space="preserve"> 576/(576 + 389)*100</f>
        <v>59.689119170984448</v>
      </c>
      <c r="K5" s="26">
        <v>21.8</v>
      </c>
      <c r="L5" s="26">
        <v>0</v>
      </c>
      <c r="M5" s="26">
        <v>5</v>
      </c>
      <c r="N5" s="26">
        <v>3</v>
      </c>
      <c r="O5" s="26">
        <v>0</v>
      </c>
      <c r="P5" s="26">
        <v>2</v>
      </c>
      <c r="Q5" s="26">
        <v>1</v>
      </c>
      <c r="R5" s="26"/>
      <c r="S5" s="26">
        <v>0.57399999999999995</v>
      </c>
      <c r="T5" s="26">
        <v>0.28100000000000003</v>
      </c>
      <c r="U5" s="26">
        <v>0.40400000000000003</v>
      </c>
      <c r="V5" s="26">
        <v>0.14899999999999999</v>
      </c>
      <c r="W5" s="26">
        <v>-1.7000000000000001E-2</v>
      </c>
      <c r="X5" s="26">
        <v>0.59199999999999997</v>
      </c>
      <c r="Y5" s="26">
        <v>0.56999999999999995</v>
      </c>
      <c r="Z5" s="26">
        <v>0.151</v>
      </c>
      <c r="AA5" s="26">
        <v>0.57599999999999996</v>
      </c>
      <c r="AB5" s="26">
        <v>6.9000000000000006E-2</v>
      </c>
      <c r="AC5" s="26">
        <v>0.34100000000000003</v>
      </c>
      <c r="AD5" s="26">
        <v>0.26100000000000001</v>
      </c>
      <c r="AE5" s="26">
        <v>0.58399999999999996</v>
      </c>
      <c r="AF5" s="26">
        <v>0.57299999999999995</v>
      </c>
      <c r="AG5" s="26">
        <v>-1.7000000000000001E-2</v>
      </c>
      <c r="AH5" s="26">
        <v>1.2E-2</v>
      </c>
      <c r="AI5" s="26">
        <v>0.13700000000000001</v>
      </c>
      <c r="AJ5" s="26">
        <v>6.3E-2</v>
      </c>
      <c r="AK5" s="26">
        <v>7.3999999999999996E-2</v>
      </c>
      <c r="AL5" s="26">
        <v>5.5E-2</v>
      </c>
      <c r="AM5" s="26">
        <v>0.26600000000000001</v>
      </c>
      <c r="AN5" s="26">
        <v>0.61799999999999999</v>
      </c>
      <c r="AO5" s="26">
        <v>4.7E-2</v>
      </c>
      <c r="AP5" s="26">
        <v>0.64100000000000001</v>
      </c>
      <c r="AQ5" s="26">
        <v>5.0999999999999997E-2</v>
      </c>
      <c r="AR5" s="26">
        <v>0.187</v>
      </c>
      <c r="AS5" s="26">
        <v>6.6000000000000003E-2</v>
      </c>
      <c r="AT5" s="26">
        <v>9.4E-2</v>
      </c>
      <c r="AU5" s="26">
        <v>0.27200000000000002</v>
      </c>
      <c r="AV5" s="26">
        <v>2.4E-2</v>
      </c>
      <c r="AW5" s="26">
        <v>0.56799999999999995</v>
      </c>
      <c r="AX5" s="26">
        <v>0.47</v>
      </c>
      <c r="AY5" s="26">
        <v>0.30399999999999999</v>
      </c>
      <c r="AZ5" s="26">
        <v>0.16700000000000001</v>
      </c>
      <c r="BA5" s="26">
        <v>0.14799999999999999</v>
      </c>
      <c r="BB5" s="26">
        <v>6.5000000000000002E-2</v>
      </c>
      <c r="BC5" s="26">
        <v>0.47899999999999998</v>
      </c>
      <c r="BD5" s="26">
        <v>2.5000000000000001E-2</v>
      </c>
      <c r="BE5" s="26">
        <v>6.0999999999999999E-2</v>
      </c>
      <c r="BF5" s="26">
        <v>0.106</v>
      </c>
      <c r="BG5" s="26">
        <v>8.9999999999999993E-3</v>
      </c>
      <c r="BH5" s="26">
        <v>0.10299999999999999</v>
      </c>
      <c r="BI5" s="26">
        <v>5.5E-2</v>
      </c>
      <c r="BJ5" s="26">
        <v>0.14199999999999999</v>
      </c>
      <c r="BK5" s="26">
        <v>0.36599999999999999</v>
      </c>
      <c r="BL5" s="26">
        <v>5.0999999999999997E-2</v>
      </c>
      <c r="BM5" s="26">
        <v>6.8000000000000005E-2</v>
      </c>
      <c r="BN5" s="26">
        <v>0.35199999999999998</v>
      </c>
      <c r="BO5" s="26">
        <v>-2.1999999999999999E-2</v>
      </c>
      <c r="BP5" s="26">
        <v>0.47399999999999998</v>
      </c>
      <c r="BQ5" s="26">
        <v>0.223</v>
      </c>
      <c r="BR5" s="26">
        <v>7.8E-2</v>
      </c>
      <c r="BS5" s="26">
        <v>0.105</v>
      </c>
      <c r="BT5" s="26">
        <v>0.13300000000000001</v>
      </c>
      <c r="BU5" s="26">
        <v>0.438</v>
      </c>
      <c r="BV5" s="26">
        <v>0.36799999999999999</v>
      </c>
      <c r="BW5" s="26">
        <v>0.154</v>
      </c>
      <c r="BX5" s="26">
        <v>0.45600000000000002</v>
      </c>
      <c r="BY5" s="26">
        <v>0.61299999999999999</v>
      </c>
      <c r="BZ5" s="26">
        <v>0.46300000000000002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>
        <v>0</v>
      </c>
      <c r="DP5" s="26">
        <v>0</v>
      </c>
      <c r="DQ5" s="26"/>
      <c r="DR5" s="26"/>
      <c r="DS5" s="26">
        <v>0</v>
      </c>
      <c r="DT5" s="26"/>
      <c r="DU5" s="26"/>
      <c r="DV5" s="26"/>
      <c r="DW5" s="26"/>
      <c r="DX5" s="26"/>
    </row>
    <row r="6" spans="1:128" x14ac:dyDescent="0.25">
      <c r="A6" s="25" t="s">
        <v>427</v>
      </c>
      <c r="B6" s="25">
        <v>2</v>
      </c>
      <c r="C6" s="25">
        <v>1994</v>
      </c>
      <c r="D6" s="25" t="s">
        <v>363</v>
      </c>
      <c r="E6" s="25" t="s">
        <v>372</v>
      </c>
      <c r="F6" s="25" t="s">
        <v>362</v>
      </c>
      <c r="G6" s="25" t="s">
        <v>365</v>
      </c>
      <c r="H6" s="25">
        <v>1</v>
      </c>
      <c r="I6" s="25">
        <v>218</v>
      </c>
      <c r="J6" s="28">
        <f xml:space="preserve"> 124/(94+124)*100</f>
        <v>56.88073394495413</v>
      </c>
      <c r="K6" s="25">
        <v>35.200000000000003</v>
      </c>
      <c r="L6" s="25">
        <v>1</v>
      </c>
      <c r="M6" s="25">
        <v>5</v>
      </c>
      <c r="N6" s="25">
        <v>3</v>
      </c>
      <c r="O6" s="25">
        <v>1</v>
      </c>
      <c r="P6" s="25">
        <v>3</v>
      </c>
      <c r="Q6" s="25">
        <v>2</v>
      </c>
      <c r="S6" s="25">
        <v>0.65</v>
      </c>
      <c r="T6" s="25">
        <v>0</v>
      </c>
      <c r="U6" s="25">
        <v>0.36</v>
      </c>
      <c r="V6" s="25">
        <v>0</v>
      </c>
      <c r="W6" s="25">
        <v>0</v>
      </c>
      <c r="X6" s="25">
        <v>0.65</v>
      </c>
      <c r="Y6" s="25">
        <v>0.52</v>
      </c>
      <c r="Z6" s="25">
        <v>0</v>
      </c>
      <c r="AA6" s="25">
        <v>0.73</v>
      </c>
      <c r="AB6" s="25">
        <v>0</v>
      </c>
      <c r="AC6" s="25">
        <v>0</v>
      </c>
      <c r="AD6" s="25">
        <v>0</v>
      </c>
      <c r="AE6" s="25">
        <v>0.71</v>
      </c>
      <c r="AF6" s="25">
        <v>0.7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0.68</v>
      </c>
      <c r="AO6" s="25">
        <v>0</v>
      </c>
      <c r="AP6" s="25">
        <v>0.7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0.47</v>
      </c>
      <c r="AX6" s="25">
        <v>0.57999999999999996</v>
      </c>
      <c r="AY6" s="25">
        <v>0</v>
      </c>
      <c r="AZ6" s="25">
        <v>0</v>
      </c>
      <c r="BA6" s="25">
        <v>0</v>
      </c>
      <c r="BB6" s="25">
        <v>0</v>
      </c>
      <c r="BC6" s="25">
        <v>0.68</v>
      </c>
      <c r="BD6" s="25">
        <v>0</v>
      </c>
      <c r="BE6" s="25">
        <v>0</v>
      </c>
      <c r="BF6" s="25">
        <v>0</v>
      </c>
      <c r="BG6" s="25">
        <v>0</v>
      </c>
      <c r="BH6" s="25">
        <v>0</v>
      </c>
      <c r="BI6" s="25">
        <v>0</v>
      </c>
      <c r="BJ6" s="25">
        <v>0</v>
      </c>
      <c r="BK6" s="25">
        <v>0.45</v>
      </c>
      <c r="BL6" s="25">
        <v>0</v>
      </c>
      <c r="BM6" s="25">
        <v>0</v>
      </c>
      <c r="BN6" s="25">
        <v>0.42</v>
      </c>
      <c r="BO6" s="25">
        <v>0</v>
      </c>
      <c r="BP6" s="25">
        <v>0.35</v>
      </c>
      <c r="BQ6" s="25">
        <v>0</v>
      </c>
      <c r="BR6" s="25">
        <v>0</v>
      </c>
      <c r="BS6" s="25">
        <v>0</v>
      </c>
      <c r="BT6" s="25">
        <v>0</v>
      </c>
      <c r="BU6" s="25">
        <v>0.46</v>
      </c>
      <c r="BV6" s="25">
        <v>0.39</v>
      </c>
      <c r="BW6" s="25">
        <v>0</v>
      </c>
      <c r="BX6" s="25">
        <v>0.44</v>
      </c>
      <c r="BY6" s="25">
        <v>0.57999999999999996</v>
      </c>
      <c r="BZ6" s="25">
        <v>0.38</v>
      </c>
      <c r="DO6" s="25">
        <v>0.72</v>
      </c>
      <c r="DP6" s="25">
        <v>0.32</v>
      </c>
      <c r="DS6" s="25">
        <v>0.5</v>
      </c>
    </row>
    <row r="7" spans="1:128" x14ac:dyDescent="0.25">
      <c r="A7" s="25" t="s">
        <v>428</v>
      </c>
      <c r="B7" s="25">
        <v>2</v>
      </c>
      <c r="C7" s="25">
        <v>1994</v>
      </c>
      <c r="D7" s="25" t="s">
        <v>363</v>
      </c>
      <c r="E7" s="25" t="s">
        <v>372</v>
      </c>
      <c r="F7" s="25" t="s">
        <v>362</v>
      </c>
      <c r="G7" s="25" t="s">
        <v>364</v>
      </c>
      <c r="H7" s="25">
        <v>1</v>
      </c>
      <c r="I7" s="25">
        <v>401</v>
      </c>
      <c r="J7" s="28">
        <f xml:space="preserve"> 242/(159+242)*100</f>
        <v>60.349127182044896</v>
      </c>
      <c r="K7" s="25">
        <v>21.1</v>
      </c>
      <c r="L7" s="25">
        <v>0</v>
      </c>
      <c r="M7" s="25">
        <v>5</v>
      </c>
      <c r="N7" s="25">
        <v>3</v>
      </c>
      <c r="O7" s="25">
        <v>1</v>
      </c>
      <c r="P7" s="25">
        <v>3</v>
      </c>
      <c r="Q7" s="25">
        <v>2</v>
      </c>
      <c r="S7" s="25">
        <v>0.55000000000000004</v>
      </c>
      <c r="T7" s="25">
        <v>0</v>
      </c>
      <c r="U7" s="25">
        <v>0.43</v>
      </c>
      <c r="V7" s="25">
        <v>0</v>
      </c>
      <c r="W7" s="25">
        <v>0</v>
      </c>
      <c r="X7" s="25">
        <v>0.6</v>
      </c>
      <c r="Y7" s="25">
        <v>0.57999999999999996</v>
      </c>
      <c r="Z7" s="25">
        <v>0</v>
      </c>
      <c r="AA7" s="25">
        <v>0.7</v>
      </c>
      <c r="AB7" s="25">
        <v>0</v>
      </c>
      <c r="AC7" s="25">
        <v>0</v>
      </c>
      <c r="AD7" s="25">
        <v>0</v>
      </c>
      <c r="AE7" s="25">
        <v>0.68</v>
      </c>
      <c r="AF7" s="25">
        <v>0.6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0.72</v>
      </c>
      <c r="AO7" s="25">
        <v>0</v>
      </c>
      <c r="AP7" s="25">
        <v>0.71</v>
      </c>
      <c r="AQ7" s="25">
        <v>0</v>
      </c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0.54</v>
      </c>
      <c r="AX7" s="25">
        <v>0.51</v>
      </c>
      <c r="AY7" s="25">
        <v>0</v>
      </c>
      <c r="AZ7" s="25">
        <v>0</v>
      </c>
      <c r="BA7" s="25">
        <v>0</v>
      </c>
      <c r="BB7" s="25">
        <v>0</v>
      </c>
      <c r="BC7" s="25">
        <v>0.72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0.45</v>
      </c>
      <c r="BL7" s="25">
        <v>0</v>
      </c>
      <c r="BM7" s="25">
        <v>0</v>
      </c>
      <c r="BN7" s="25">
        <v>0.28000000000000003</v>
      </c>
      <c r="BO7" s="25">
        <v>0</v>
      </c>
      <c r="BP7" s="25">
        <v>0.62</v>
      </c>
      <c r="BQ7" s="25">
        <v>0</v>
      </c>
      <c r="BR7" s="25">
        <v>0</v>
      </c>
      <c r="BS7" s="25">
        <v>0</v>
      </c>
      <c r="BT7" s="25">
        <v>0</v>
      </c>
      <c r="BU7" s="25">
        <v>0.39</v>
      </c>
      <c r="BV7" s="25">
        <v>0.3</v>
      </c>
      <c r="BW7" s="25">
        <v>0</v>
      </c>
      <c r="BX7" s="25">
        <v>0.47</v>
      </c>
      <c r="BY7" s="25">
        <v>0.7</v>
      </c>
      <c r="BZ7" s="25">
        <v>0.39</v>
      </c>
      <c r="DO7" s="25">
        <v>0.65</v>
      </c>
      <c r="DP7" s="25">
        <v>0.1</v>
      </c>
      <c r="DS7" s="25">
        <v>0.36</v>
      </c>
    </row>
    <row r="8" spans="1:128" x14ac:dyDescent="0.25">
      <c r="A8" s="25" t="s">
        <v>494</v>
      </c>
      <c r="B8" s="25">
        <v>3</v>
      </c>
      <c r="C8" s="25">
        <v>1995</v>
      </c>
      <c r="D8" s="25" t="s">
        <v>363</v>
      </c>
      <c r="E8" s="25" t="s">
        <v>372</v>
      </c>
      <c r="F8" s="25" t="s">
        <v>362</v>
      </c>
      <c r="G8" s="25" t="s">
        <v>578</v>
      </c>
      <c r="H8" s="25">
        <v>1</v>
      </c>
      <c r="I8" s="25">
        <v>508</v>
      </c>
      <c r="J8" s="28">
        <v>0</v>
      </c>
      <c r="K8" s="29">
        <v>33</v>
      </c>
      <c r="L8" s="25">
        <v>0</v>
      </c>
      <c r="M8" s="25">
        <v>5</v>
      </c>
      <c r="N8" s="25">
        <v>2</v>
      </c>
      <c r="O8" s="25">
        <v>0</v>
      </c>
      <c r="P8" s="25">
        <v>1</v>
      </c>
      <c r="Q8" s="25">
        <v>1</v>
      </c>
      <c r="R8" s="25" t="s">
        <v>579</v>
      </c>
      <c r="S8" s="25">
        <v>0.70299999999999996</v>
      </c>
      <c r="T8" s="25">
        <v>0.72</v>
      </c>
      <c r="U8" s="25">
        <v>0.436</v>
      </c>
      <c r="V8" s="25">
        <v>0.58699999999999997</v>
      </c>
      <c r="W8" s="25">
        <v>1E-3</v>
      </c>
      <c r="X8" s="25">
        <v>0.59099999999999997</v>
      </c>
      <c r="Y8" s="25">
        <v>0.497</v>
      </c>
      <c r="Z8" s="25">
        <v>0.33600000000000002</v>
      </c>
      <c r="AA8" s="25">
        <v>0.66</v>
      </c>
      <c r="AB8" s="25">
        <v>-3.0000000000000001E-3</v>
      </c>
      <c r="AC8" s="25">
        <v>0.70899999999999996</v>
      </c>
      <c r="AD8" s="25">
        <v>0.59</v>
      </c>
      <c r="AE8" s="25">
        <v>0.70899999999999996</v>
      </c>
      <c r="AF8" s="25">
        <v>0.53600000000000003</v>
      </c>
      <c r="AG8" s="25">
        <v>0.27800000000000002</v>
      </c>
      <c r="AH8" s="25">
        <v>0.17199999999999999</v>
      </c>
      <c r="AI8" s="25">
        <v>0.64800000000000002</v>
      </c>
      <c r="AJ8" s="25">
        <v>0.115</v>
      </c>
      <c r="AK8" s="25">
        <v>0.11</v>
      </c>
      <c r="AL8" s="25">
        <v>0.29399999999999998</v>
      </c>
      <c r="AM8" s="25">
        <v>3.7999999999999999E-2</v>
      </c>
      <c r="AN8" s="25">
        <v>1.6E-2</v>
      </c>
      <c r="AO8" s="25">
        <v>0.15</v>
      </c>
      <c r="AP8" s="25">
        <v>0.104</v>
      </c>
      <c r="AQ8" s="25">
        <v>0.58299999999999996</v>
      </c>
      <c r="AR8" s="25">
        <v>-5.0000000000000001E-3</v>
      </c>
      <c r="AS8" s="25">
        <v>4.7E-2</v>
      </c>
      <c r="AT8" s="25">
        <v>0.38900000000000001</v>
      </c>
      <c r="AU8" s="25">
        <v>5.5E-2</v>
      </c>
      <c r="AV8" s="25">
        <v>0.67700000000000005</v>
      </c>
      <c r="AW8" s="25">
        <v>5.5E-2</v>
      </c>
      <c r="AX8" s="25">
        <v>-3.7999999999999999E-2</v>
      </c>
      <c r="AY8" s="25">
        <v>-1E-3</v>
      </c>
      <c r="AZ8" s="25">
        <v>5.1999999999999998E-2</v>
      </c>
      <c r="BA8" s="25">
        <v>0.127</v>
      </c>
      <c r="BB8" s="25">
        <v>-0.09</v>
      </c>
      <c r="BC8" s="25">
        <v>6.0000000000000001E-3</v>
      </c>
      <c r="BD8" s="25">
        <v>0.57399999999999995</v>
      </c>
      <c r="BE8" s="25">
        <v>0.67100000000000004</v>
      </c>
      <c r="BF8" s="25">
        <v>0.10100000000000001</v>
      </c>
      <c r="DO8" s="25">
        <v>0</v>
      </c>
    </row>
    <row r="9" spans="1:128" x14ac:dyDescent="0.25">
      <c r="A9" s="25" t="s">
        <v>489</v>
      </c>
      <c r="B9" s="25">
        <v>4</v>
      </c>
      <c r="C9" s="25">
        <v>1996</v>
      </c>
      <c r="D9" s="25" t="s">
        <v>485</v>
      </c>
      <c r="E9" s="25" t="s">
        <v>373</v>
      </c>
      <c r="F9" s="25" t="s">
        <v>486</v>
      </c>
      <c r="G9" s="25" t="s">
        <v>487</v>
      </c>
      <c r="H9" s="25">
        <v>1</v>
      </c>
      <c r="I9" s="25">
        <v>642</v>
      </c>
      <c r="J9" s="28">
        <f>327/642*100</f>
        <v>50.934579439252339</v>
      </c>
      <c r="K9" s="25">
        <v>43.3</v>
      </c>
      <c r="L9" s="25">
        <v>1</v>
      </c>
      <c r="M9" s="25">
        <v>5</v>
      </c>
      <c r="N9" s="25">
        <v>3</v>
      </c>
      <c r="O9" s="25">
        <v>1</v>
      </c>
      <c r="P9" s="25">
        <v>3</v>
      </c>
      <c r="Q9" s="25">
        <v>2</v>
      </c>
      <c r="S9" s="25">
        <v>0.6</v>
      </c>
      <c r="T9" s="25">
        <v>0</v>
      </c>
      <c r="U9" s="25">
        <v>0.53</v>
      </c>
      <c r="V9" s="25">
        <v>0</v>
      </c>
      <c r="W9" s="25">
        <v>0</v>
      </c>
      <c r="X9" s="25">
        <v>0.52</v>
      </c>
      <c r="Y9" s="25">
        <v>0.62</v>
      </c>
      <c r="Z9" s="25">
        <v>0</v>
      </c>
      <c r="AA9" s="25">
        <v>0.64</v>
      </c>
      <c r="AB9" s="25">
        <v>0</v>
      </c>
      <c r="AC9" s="25">
        <v>0</v>
      </c>
      <c r="AD9" s="25">
        <v>0</v>
      </c>
      <c r="AE9" s="25">
        <v>0.67</v>
      </c>
      <c r="AF9" s="25">
        <v>0.54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0.68</v>
      </c>
      <c r="AO9" s="25">
        <v>0</v>
      </c>
      <c r="AP9" s="25">
        <v>0.51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0.64</v>
      </c>
      <c r="AX9" s="25">
        <v>0.43</v>
      </c>
      <c r="AY9" s="25">
        <v>0</v>
      </c>
      <c r="AZ9" s="25">
        <v>0</v>
      </c>
      <c r="BA9" s="25">
        <v>0</v>
      </c>
      <c r="BB9" s="25">
        <v>0</v>
      </c>
      <c r="BC9" s="25">
        <v>0.5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0.28000000000000003</v>
      </c>
      <c r="BL9" s="25">
        <v>0</v>
      </c>
      <c r="BM9" s="25">
        <v>0</v>
      </c>
      <c r="BN9" s="25">
        <v>0.43</v>
      </c>
      <c r="BO9" s="25">
        <v>0</v>
      </c>
      <c r="BP9" s="25">
        <v>0.19</v>
      </c>
      <c r="BQ9" s="25">
        <v>0</v>
      </c>
      <c r="BR9" s="25">
        <v>0</v>
      </c>
      <c r="BS9" s="25">
        <v>0</v>
      </c>
      <c r="BT9" s="25">
        <v>0</v>
      </c>
      <c r="BU9" s="25">
        <v>0.49</v>
      </c>
      <c r="BV9" s="25">
        <v>0.47</v>
      </c>
      <c r="BW9" s="25">
        <v>0</v>
      </c>
      <c r="BX9" s="25">
        <v>0.23</v>
      </c>
      <c r="BY9" s="25">
        <v>0.27</v>
      </c>
      <c r="BZ9" s="25">
        <v>0.45</v>
      </c>
      <c r="DO9" s="25">
        <v>0.8</v>
      </c>
      <c r="DP9" s="25">
        <v>0.51</v>
      </c>
      <c r="DS9" s="25">
        <v>0.59</v>
      </c>
    </row>
    <row r="10" spans="1:128" x14ac:dyDescent="0.25">
      <c r="A10" s="25" t="s">
        <v>490</v>
      </c>
      <c r="B10" s="25">
        <v>4</v>
      </c>
      <c r="C10" s="25">
        <v>1996</v>
      </c>
      <c r="D10" s="25" t="s">
        <v>485</v>
      </c>
      <c r="E10" s="25" t="s">
        <v>373</v>
      </c>
      <c r="F10" s="25" t="s">
        <v>486</v>
      </c>
      <c r="G10" s="25" t="s">
        <v>488</v>
      </c>
      <c r="H10" s="25">
        <v>1</v>
      </c>
      <c r="I10" s="25">
        <v>206</v>
      </c>
      <c r="J10" s="28">
        <f>112/206*100</f>
        <v>54.368932038834949</v>
      </c>
      <c r="K10" s="25">
        <v>34.200000000000003</v>
      </c>
      <c r="L10" s="25">
        <v>0</v>
      </c>
      <c r="M10" s="25">
        <v>5</v>
      </c>
      <c r="N10" s="25">
        <v>3</v>
      </c>
      <c r="O10" s="25">
        <v>1</v>
      </c>
      <c r="P10" s="25">
        <v>3</v>
      </c>
      <c r="Q10" s="25">
        <v>2</v>
      </c>
      <c r="S10" s="25">
        <v>0.68</v>
      </c>
      <c r="T10" s="25">
        <v>0</v>
      </c>
      <c r="U10" s="25">
        <v>0.42</v>
      </c>
      <c r="V10" s="25">
        <v>0</v>
      </c>
      <c r="W10" s="25">
        <v>0</v>
      </c>
      <c r="X10" s="25">
        <v>0.43</v>
      </c>
      <c r="Y10" s="25">
        <v>0.59</v>
      </c>
      <c r="Z10" s="25">
        <v>0</v>
      </c>
      <c r="AA10" s="25">
        <v>0.62</v>
      </c>
      <c r="AB10" s="25">
        <v>0</v>
      </c>
      <c r="AC10" s="25">
        <v>0</v>
      </c>
      <c r="AD10" s="25">
        <v>0</v>
      </c>
      <c r="AE10" s="25">
        <v>0.74</v>
      </c>
      <c r="AF10" s="25">
        <v>0.49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0.81</v>
      </c>
      <c r="AO10" s="25">
        <v>0</v>
      </c>
      <c r="AP10" s="25">
        <v>0.65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0.49</v>
      </c>
      <c r="AX10" s="25">
        <v>0.26</v>
      </c>
      <c r="AY10" s="25">
        <v>0</v>
      </c>
      <c r="AZ10" s="25">
        <v>0</v>
      </c>
      <c r="BA10" s="25">
        <v>0</v>
      </c>
      <c r="BB10" s="25">
        <v>0</v>
      </c>
      <c r="BC10" s="25">
        <v>0.48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0.18</v>
      </c>
      <c r="BL10" s="25">
        <v>0</v>
      </c>
      <c r="BM10" s="25">
        <v>0</v>
      </c>
      <c r="BN10" s="25">
        <v>0.55000000000000004</v>
      </c>
      <c r="BO10" s="25">
        <v>0</v>
      </c>
      <c r="BP10" s="25">
        <v>0.41</v>
      </c>
      <c r="BQ10" s="25">
        <v>0</v>
      </c>
      <c r="BR10" s="25">
        <v>0</v>
      </c>
      <c r="BS10" s="25">
        <v>0</v>
      </c>
      <c r="BT10" s="25">
        <v>0</v>
      </c>
      <c r="BU10" s="25">
        <v>0.43</v>
      </c>
      <c r="BV10" s="25">
        <v>0.5</v>
      </c>
      <c r="BW10" s="25">
        <v>0</v>
      </c>
      <c r="BX10" s="25">
        <v>0.13</v>
      </c>
      <c r="BY10" s="25">
        <v>0.31</v>
      </c>
      <c r="BZ10" s="25">
        <v>0.22</v>
      </c>
      <c r="DO10" s="25">
        <v>0.55000000000000004</v>
      </c>
      <c r="DP10" s="25">
        <v>0.26</v>
      </c>
      <c r="DS10" s="25">
        <v>0.48</v>
      </c>
    </row>
    <row r="11" spans="1:128" x14ac:dyDescent="0.25">
      <c r="A11" s="25" t="s">
        <v>512</v>
      </c>
      <c r="B11" s="25">
        <v>5</v>
      </c>
      <c r="C11" s="25">
        <v>1996</v>
      </c>
      <c r="D11" s="25" t="s">
        <v>509</v>
      </c>
      <c r="E11" s="25" t="s">
        <v>360</v>
      </c>
      <c r="F11" s="25" t="s">
        <v>510</v>
      </c>
      <c r="G11" s="25" t="s">
        <v>511</v>
      </c>
      <c r="H11" s="25">
        <v>1</v>
      </c>
      <c r="I11" s="25">
        <v>285</v>
      </c>
      <c r="J11" s="28">
        <f>127/285*100</f>
        <v>44.561403508771932</v>
      </c>
      <c r="K11" s="29">
        <f xml:space="preserve"> (127*21.67+158*28.55)/285</f>
        <v>25.484175438596495</v>
      </c>
      <c r="L11" s="25">
        <v>0</v>
      </c>
      <c r="M11" s="25">
        <v>5</v>
      </c>
      <c r="N11" s="25">
        <v>3</v>
      </c>
      <c r="O11" s="25">
        <v>1</v>
      </c>
      <c r="P11" s="25">
        <v>3</v>
      </c>
      <c r="Q11" s="25">
        <v>2</v>
      </c>
      <c r="R11" s="25" t="s">
        <v>513</v>
      </c>
      <c r="S11" s="25">
        <v>0.49199999999999999</v>
      </c>
      <c r="T11" s="25">
        <v>0</v>
      </c>
      <c r="U11" s="25">
        <v>0.36099999999999999</v>
      </c>
      <c r="V11" s="25">
        <v>0</v>
      </c>
      <c r="W11" s="25">
        <v>0</v>
      </c>
      <c r="X11" s="25">
        <v>0.51700000000000002</v>
      </c>
      <c r="Y11" s="25">
        <v>0.59599999999999997</v>
      </c>
      <c r="Z11" s="25">
        <v>0</v>
      </c>
      <c r="AA11" s="25">
        <v>0.55700000000000005</v>
      </c>
      <c r="AB11" s="25">
        <v>0</v>
      </c>
      <c r="AC11" s="25">
        <v>0</v>
      </c>
      <c r="AD11" s="25">
        <v>0</v>
      </c>
      <c r="AE11" s="25">
        <v>0.66500000000000004</v>
      </c>
      <c r="AF11" s="25">
        <v>0.59899999999999998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0.48799999999999999</v>
      </c>
      <c r="AO11" s="25">
        <v>0</v>
      </c>
      <c r="AP11" s="25">
        <v>0.45400000000000001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0.52600000000000002</v>
      </c>
      <c r="AX11" s="25">
        <v>0.24299999999999999</v>
      </c>
      <c r="AY11" s="25">
        <v>0</v>
      </c>
      <c r="AZ11" s="25">
        <v>0</v>
      </c>
      <c r="BA11" s="25">
        <v>0</v>
      </c>
      <c r="BB11" s="25">
        <v>0</v>
      </c>
      <c r="BC11" s="25">
        <v>0.36299999999999999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0.17100000000000001</v>
      </c>
      <c r="BL11" s="25">
        <v>0</v>
      </c>
      <c r="BM11" s="25">
        <v>0</v>
      </c>
      <c r="BN11" s="25">
        <v>0.44400000000000001</v>
      </c>
      <c r="BO11" s="25">
        <v>0</v>
      </c>
      <c r="BP11" s="25">
        <v>0.13</v>
      </c>
      <c r="BQ11" s="25">
        <v>0</v>
      </c>
      <c r="BR11" s="25">
        <v>0</v>
      </c>
      <c r="BS11" s="25">
        <v>0</v>
      </c>
      <c r="BT11" s="25">
        <v>0</v>
      </c>
      <c r="BU11" s="25">
        <v>0.23</v>
      </c>
      <c r="BV11" s="25">
        <v>0.30599999999999999</v>
      </c>
      <c r="BW11" s="25">
        <v>0</v>
      </c>
      <c r="BX11" s="25">
        <v>4.2000000000000003E-2</v>
      </c>
      <c r="BY11" s="25">
        <v>0.24099999999999999</v>
      </c>
      <c r="BZ11" s="25">
        <v>0.46899999999999997</v>
      </c>
      <c r="DO11" s="25">
        <v>0.75</v>
      </c>
      <c r="DP11" s="25">
        <v>0.46</v>
      </c>
      <c r="DS11" s="25">
        <v>0.53</v>
      </c>
    </row>
    <row r="12" spans="1:128" x14ac:dyDescent="0.25">
      <c r="A12" s="25" t="s">
        <v>624</v>
      </c>
      <c r="B12" s="25">
        <v>6</v>
      </c>
      <c r="C12" s="25">
        <v>1996</v>
      </c>
      <c r="D12" s="25" t="s">
        <v>608</v>
      </c>
      <c r="E12" s="25" t="s">
        <v>373</v>
      </c>
      <c r="F12" s="25" t="s">
        <v>449</v>
      </c>
      <c r="G12" s="25" t="s">
        <v>364</v>
      </c>
      <c r="H12" s="25">
        <v>1</v>
      </c>
      <c r="I12" s="25">
        <v>370</v>
      </c>
      <c r="J12" s="28">
        <f>263/370*100</f>
        <v>71.081081081081081</v>
      </c>
      <c r="K12" s="29">
        <v>19.53</v>
      </c>
      <c r="L12" s="25">
        <v>0</v>
      </c>
      <c r="M12" s="25">
        <v>5</v>
      </c>
      <c r="N12" s="25">
        <v>3</v>
      </c>
      <c r="O12" s="25">
        <v>0</v>
      </c>
      <c r="P12" s="25">
        <v>1</v>
      </c>
      <c r="Q12" s="25">
        <v>1</v>
      </c>
      <c r="S12" s="25">
        <v>0.65300000000000002</v>
      </c>
      <c r="T12" s="25">
        <v>0.29399999999999998</v>
      </c>
      <c r="U12" s="25">
        <v>0.47799999999999998</v>
      </c>
      <c r="V12" s="25">
        <v>0.1</v>
      </c>
      <c r="W12" s="25">
        <v>0.11899999999999999</v>
      </c>
      <c r="X12" s="25">
        <v>0.57199999999999995</v>
      </c>
      <c r="Y12" s="25">
        <v>0.76900000000000002</v>
      </c>
      <c r="Z12" s="25">
        <v>0.21299999999999999</v>
      </c>
      <c r="AA12" s="25">
        <v>0.67300000000000004</v>
      </c>
      <c r="AB12" s="25">
        <v>6.9000000000000006E-2</v>
      </c>
      <c r="AC12" s="25">
        <v>0.26800000000000002</v>
      </c>
      <c r="AD12" s="25">
        <v>0.27800000000000002</v>
      </c>
      <c r="AE12" s="25">
        <v>0.74299999999999999</v>
      </c>
      <c r="AF12" s="25">
        <v>0.50700000000000001</v>
      </c>
      <c r="AG12" s="25">
        <v>-0.28199999999999997</v>
      </c>
      <c r="AH12" s="25">
        <v>-0.156</v>
      </c>
      <c r="AI12" s="25">
        <v>0.11700000000000001</v>
      </c>
      <c r="AJ12" s="25">
        <v>0.01</v>
      </c>
      <c r="AK12" s="25">
        <v>8.4000000000000005E-2</v>
      </c>
      <c r="AL12" s="25">
        <v>0.21</v>
      </c>
      <c r="AM12" s="25">
        <v>0.14000000000000001</v>
      </c>
      <c r="AN12" s="25">
        <v>0.71399999999999997</v>
      </c>
      <c r="AO12" s="25">
        <v>0.04</v>
      </c>
      <c r="AP12" s="25">
        <v>0.75900000000000001</v>
      </c>
      <c r="AQ12" s="25">
        <v>-0.17299999999999999</v>
      </c>
      <c r="AR12" s="25">
        <v>0.29199999999999998</v>
      </c>
      <c r="AS12" s="25">
        <v>3.4000000000000002E-2</v>
      </c>
      <c r="AT12" s="25">
        <v>9.8000000000000004E-2</v>
      </c>
      <c r="AU12" s="25">
        <v>0.20799999999999999</v>
      </c>
      <c r="AV12" s="25">
        <v>-5.3999999999999999E-2</v>
      </c>
      <c r="AW12" s="25">
        <v>0.58799999999999997</v>
      </c>
      <c r="AX12" s="25">
        <v>0.52900000000000003</v>
      </c>
      <c r="AY12" s="25">
        <v>0.23899999999999999</v>
      </c>
      <c r="AZ12" s="25">
        <v>0.20599999999999999</v>
      </c>
      <c r="BA12" s="25">
        <v>0.32200000000000001</v>
      </c>
      <c r="BB12" s="25">
        <v>0.112</v>
      </c>
      <c r="BC12" s="25">
        <v>0.65800000000000003</v>
      </c>
      <c r="BD12" s="25">
        <v>5.1999999999999998E-2</v>
      </c>
      <c r="BE12" s="25">
        <v>3.6999999999999998E-2</v>
      </c>
      <c r="BF12" s="25">
        <v>0.11</v>
      </c>
      <c r="BG12" s="25">
        <v>1.2E-2</v>
      </c>
      <c r="BH12" s="25">
        <v>8.7999999999999995E-2</v>
      </c>
      <c r="BI12" s="25">
        <v>4.0000000000000001E-3</v>
      </c>
      <c r="BJ12" s="25">
        <v>5.2999999999999999E-2</v>
      </c>
      <c r="BK12" s="25">
        <v>0.45800000000000002</v>
      </c>
      <c r="BL12" s="25">
        <v>0.16400000000000001</v>
      </c>
      <c r="BM12" s="25">
        <v>-3.4000000000000002E-2</v>
      </c>
      <c r="BN12" s="25">
        <v>0.35599999999999998</v>
      </c>
      <c r="BO12" s="25">
        <v>-4.7E-2</v>
      </c>
      <c r="BP12" s="25">
        <v>0.51100000000000001</v>
      </c>
      <c r="BQ12" s="25">
        <v>0.11899999999999999</v>
      </c>
      <c r="BR12" s="25">
        <v>-0.11799999999999999</v>
      </c>
      <c r="BS12" s="25">
        <v>5.8999999999999997E-2</v>
      </c>
      <c r="BT12" s="25">
        <v>0.22</v>
      </c>
      <c r="BU12" s="25">
        <v>0.45</v>
      </c>
      <c r="BV12" s="25">
        <v>0.39900000000000002</v>
      </c>
      <c r="BW12" s="25">
        <v>0.01</v>
      </c>
      <c r="BX12" s="25">
        <v>0.64400000000000002</v>
      </c>
      <c r="BY12" s="25">
        <v>0.71099999999999997</v>
      </c>
      <c r="BZ12" s="25">
        <v>0.34799999999999998</v>
      </c>
      <c r="DO12" s="25">
        <v>0</v>
      </c>
      <c r="DP12" s="25">
        <v>0</v>
      </c>
      <c r="DS12" s="25">
        <v>0</v>
      </c>
    </row>
    <row r="13" spans="1:128" x14ac:dyDescent="0.25">
      <c r="A13" s="25" t="s">
        <v>498</v>
      </c>
      <c r="B13" s="25">
        <v>7</v>
      </c>
      <c r="C13" s="25">
        <v>1997</v>
      </c>
      <c r="D13" s="25" t="s">
        <v>586</v>
      </c>
      <c r="E13" s="25" t="s">
        <v>373</v>
      </c>
      <c r="F13" s="25" t="s">
        <v>11</v>
      </c>
      <c r="G13" s="25" t="s">
        <v>447</v>
      </c>
      <c r="H13" s="25">
        <v>1</v>
      </c>
      <c r="I13" s="25">
        <v>277</v>
      </c>
      <c r="J13" s="28">
        <v>49.6</v>
      </c>
      <c r="K13" s="25">
        <v>24.3</v>
      </c>
      <c r="L13" s="25">
        <v>0</v>
      </c>
      <c r="M13" s="25">
        <v>5</v>
      </c>
      <c r="N13" s="25">
        <v>2</v>
      </c>
      <c r="O13" s="25">
        <v>0</v>
      </c>
      <c r="P13" s="25">
        <v>1</v>
      </c>
      <c r="Q13" s="25">
        <v>1</v>
      </c>
      <c r="S13" s="25">
        <v>0.73</v>
      </c>
      <c r="T13" s="25">
        <v>0.64</v>
      </c>
      <c r="U13" s="25">
        <v>0.55000000000000004</v>
      </c>
      <c r="V13" s="25">
        <v>0.5</v>
      </c>
      <c r="W13" s="25">
        <v>0.1</v>
      </c>
      <c r="X13" s="25">
        <v>0.49</v>
      </c>
      <c r="Y13" s="25">
        <v>0.65</v>
      </c>
      <c r="Z13" s="25">
        <v>-0.01</v>
      </c>
      <c r="AA13" s="25">
        <v>0.75</v>
      </c>
      <c r="AB13" s="25">
        <v>0.01</v>
      </c>
      <c r="AC13" s="25">
        <v>0.54</v>
      </c>
      <c r="AD13" s="25">
        <v>0.56999999999999995</v>
      </c>
      <c r="AE13" s="25">
        <v>0.71</v>
      </c>
      <c r="AF13" s="25">
        <v>0.53</v>
      </c>
      <c r="AG13" s="25">
        <v>-0.1</v>
      </c>
      <c r="AH13" s="25">
        <v>-0.09</v>
      </c>
      <c r="AI13" s="25">
        <v>0.26</v>
      </c>
      <c r="AJ13" s="25">
        <v>-0.08</v>
      </c>
      <c r="AK13" s="25">
        <v>-0.11</v>
      </c>
      <c r="AL13" s="25">
        <v>-0.06</v>
      </c>
      <c r="AM13" s="25">
        <v>-0.23</v>
      </c>
      <c r="AN13" s="25">
        <v>0.43</v>
      </c>
      <c r="AO13" s="25">
        <v>-0.09</v>
      </c>
      <c r="AP13" s="25">
        <v>0.55000000000000004</v>
      </c>
      <c r="AQ13" s="25">
        <v>0.32</v>
      </c>
      <c r="AR13" s="25">
        <v>-0.11</v>
      </c>
      <c r="AS13" s="25">
        <v>-0.22</v>
      </c>
      <c r="AT13" s="25">
        <v>0.36</v>
      </c>
      <c r="AU13" s="25">
        <v>-0.02</v>
      </c>
      <c r="AV13" s="25">
        <v>0.51</v>
      </c>
      <c r="AW13" s="25">
        <v>0.35</v>
      </c>
      <c r="AX13" s="25">
        <v>0.37</v>
      </c>
      <c r="AY13" s="25">
        <v>-0.02</v>
      </c>
      <c r="AZ13" s="25">
        <v>-0.02</v>
      </c>
      <c r="BA13" s="25">
        <v>0.68</v>
      </c>
      <c r="BB13" s="25">
        <v>0.39</v>
      </c>
      <c r="BC13" s="25">
        <v>0.59</v>
      </c>
      <c r="BD13" s="25">
        <v>0.27</v>
      </c>
      <c r="BE13" s="25">
        <v>0.5</v>
      </c>
      <c r="BF13" s="25">
        <v>0.37</v>
      </c>
      <c r="DO13" s="25">
        <v>0</v>
      </c>
    </row>
    <row r="14" spans="1:128" x14ac:dyDescent="0.25">
      <c r="A14" s="25" t="s">
        <v>491</v>
      </c>
      <c r="B14" s="25">
        <v>8</v>
      </c>
      <c r="C14" s="25">
        <v>1997</v>
      </c>
      <c r="D14" s="25" t="s">
        <v>440</v>
      </c>
      <c r="E14" s="25" t="s">
        <v>360</v>
      </c>
      <c r="F14" s="25" t="s">
        <v>441</v>
      </c>
      <c r="G14" s="25" t="s">
        <v>492</v>
      </c>
      <c r="H14" s="25">
        <v>1</v>
      </c>
      <c r="I14" s="25">
        <v>149</v>
      </c>
      <c r="J14" s="28">
        <f>77/149*100</f>
        <v>51.677852348993291</v>
      </c>
      <c r="K14" s="25">
        <v>34.200000000000003</v>
      </c>
      <c r="L14" s="25">
        <v>1</v>
      </c>
      <c r="M14" s="25">
        <v>5</v>
      </c>
      <c r="N14" s="25">
        <v>3</v>
      </c>
      <c r="O14" s="25">
        <v>0</v>
      </c>
      <c r="P14" s="25">
        <v>1</v>
      </c>
      <c r="Q14" s="25">
        <v>1</v>
      </c>
      <c r="S14" s="25">
        <v>0.75</v>
      </c>
      <c r="T14" s="25">
        <v>0</v>
      </c>
      <c r="U14" s="25">
        <v>0.70399999999999996</v>
      </c>
      <c r="V14" s="25">
        <v>0</v>
      </c>
      <c r="W14" s="25">
        <v>0</v>
      </c>
      <c r="X14" s="25">
        <v>0.57499999999999996</v>
      </c>
      <c r="Y14" s="25">
        <v>0.67800000000000005</v>
      </c>
      <c r="Z14" s="25">
        <v>0</v>
      </c>
      <c r="AA14" s="25">
        <v>0.77100000000000002</v>
      </c>
      <c r="AB14" s="25">
        <v>0</v>
      </c>
      <c r="AC14" s="25">
        <v>0</v>
      </c>
      <c r="AD14" s="25">
        <v>0</v>
      </c>
      <c r="AE14" s="25">
        <v>0.78700000000000003</v>
      </c>
      <c r="AF14" s="25">
        <v>0.74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0.77900000000000003</v>
      </c>
      <c r="AO14" s="25">
        <v>0</v>
      </c>
      <c r="AP14" s="25">
        <v>0.71799999999999997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0.69799999999999995</v>
      </c>
      <c r="AX14" s="25">
        <v>0.73899999999999999</v>
      </c>
      <c r="AY14" s="25">
        <v>0</v>
      </c>
      <c r="AZ14" s="25">
        <v>0</v>
      </c>
      <c r="BA14" s="25">
        <v>0</v>
      </c>
      <c r="BB14" s="25">
        <v>0</v>
      </c>
      <c r="BC14" s="25">
        <v>0.8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0.60499999999999998</v>
      </c>
      <c r="BL14" s="25">
        <v>0</v>
      </c>
      <c r="BM14" s="25">
        <v>0</v>
      </c>
      <c r="BN14" s="25">
        <v>0.60299999999999998</v>
      </c>
      <c r="BO14" s="25">
        <v>0</v>
      </c>
      <c r="BP14" s="25">
        <v>0.50600000000000001</v>
      </c>
      <c r="BQ14" s="25">
        <v>0</v>
      </c>
      <c r="BR14" s="25">
        <v>0</v>
      </c>
      <c r="BS14" s="25">
        <v>0</v>
      </c>
      <c r="BT14" s="25">
        <v>0</v>
      </c>
      <c r="BU14" s="25">
        <v>0.502</v>
      </c>
      <c r="BV14" s="25">
        <v>0.50700000000000001</v>
      </c>
      <c r="BW14" s="25">
        <v>0</v>
      </c>
      <c r="BX14" s="25">
        <v>0.42399999999999999</v>
      </c>
      <c r="BY14" s="25">
        <v>0.47799999999999998</v>
      </c>
      <c r="BZ14" s="25">
        <v>0.52900000000000003</v>
      </c>
      <c r="DO14" s="25">
        <v>0</v>
      </c>
      <c r="DP14" s="25">
        <v>0</v>
      </c>
      <c r="DS14" s="25">
        <v>0</v>
      </c>
    </row>
    <row r="15" spans="1:128" x14ac:dyDescent="0.25">
      <c r="A15" s="25" t="s">
        <v>572</v>
      </c>
      <c r="B15" s="25">
        <v>9</v>
      </c>
      <c r="C15" s="25">
        <v>1998</v>
      </c>
      <c r="D15" s="25" t="s">
        <v>366</v>
      </c>
      <c r="E15" s="25" t="s">
        <v>372</v>
      </c>
      <c r="F15" s="25" t="s">
        <v>362</v>
      </c>
      <c r="G15" s="25" t="s">
        <v>573</v>
      </c>
      <c r="H15" s="25">
        <v>3</v>
      </c>
      <c r="I15" s="25">
        <v>245</v>
      </c>
      <c r="J15" s="28">
        <f>154/239*100</f>
        <v>64.43514644351464</v>
      </c>
      <c r="K15" s="29">
        <v>20.39</v>
      </c>
      <c r="L15" s="25">
        <v>0</v>
      </c>
      <c r="M15" s="25">
        <v>5</v>
      </c>
      <c r="N15" s="25">
        <v>5</v>
      </c>
      <c r="O15" s="25">
        <v>0</v>
      </c>
      <c r="P15" s="25">
        <v>2</v>
      </c>
      <c r="Q15" s="25">
        <v>2</v>
      </c>
      <c r="R15" s="25" t="s">
        <v>574</v>
      </c>
      <c r="S15" s="25">
        <v>0.70099999999999996</v>
      </c>
      <c r="T15" s="25">
        <v>0.41399999999999998</v>
      </c>
      <c r="U15" s="25">
        <v>0.51900000000000002</v>
      </c>
      <c r="V15" s="25">
        <v>0.36799999999999999</v>
      </c>
      <c r="W15" s="25">
        <v>-5.8000000000000003E-2</v>
      </c>
      <c r="X15" s="25">
        <v>0.64100000000000001</v>
      </c>
      <c r="Y15" s="25">
        <v>0.74399999999999999</v>
      </c>
      <c r="Z15" s="25">
        <v>3.6999999999999998E-2</v>
      </c>
      <c r="AA15" s="25">
        <v>0.79900000000000004</v>
      </c>
      <c r="AB15" s="25">
        <v>-8.5000000000000006E-2</v>
      </c>
      <c r="AC15" s="25">
        <v>0.499</v>
      </c>
      <c r="AD15" s="25">
        <v>0.23799999999999999</v>
      </c>
      <c r="AE15" s="25">
        <v>0.81499999999999995</v>
      </c>
      <c r="AF15" s="25">
        <v>0.57099999999999995</v>
      </c>
      <c r="AG15" s="25">
        <v>2.3E-2</v>
      </c>
      <c r="AH15" s="25">
        <v>3.4000000000000002E-2</v>
      </c>
      <c r="AI15" s="25">
        <v>-4.2999999999999997E-2</v>
      </c>
      <c r="AJ15" s="25">
        <v>1.4999999999999999E-2</v>
      </c>
      <c r="AK15" s="25">
        <v>-3.5000000000000003E-2</v>
      </c>
      <c r="AL15" s="25">
        <v>0.128</v>
      </c>
      <c r="AM15" s="25">
        <v>0.1</v>
      </c>
      <c r="AN15" s="25">
        <v>0.36299999999999999</v>
      </c>
      <c r="AO15" s="25">
        <v>3.9E-2</v>
      </c>
      <c r="AP15" s="25">
        <v>0.33</v>
      </c>
      <c r="AQ15" s="25">
        <v>-0.182</v>
      </c>
      <c r="AR15" s="25">
        <v>7.1999999999999995E-2</v>
      </c>
      <c r="AS15" s="25">
        <v>-0.112</v>
      </c>
      <c r="AT15" s="25">
        <v>5.6000000000000001E-2</v>
      </c>
      <c r="AU15" s="25">
        <v>-3.2000000000000001E-2</v>
      </c>
      <c r="AV15" s="25">
        <v>0.32700000000000001</v>
      </c>
      <c r="AW15" s="25">
        <v>0.25900000000000001</v>
      </c>
      <c r="AX15" s="25">
        <v>0.39600000000000002</v>
      </c>
      <c r="AY15" s="25">
        <v>3.7999999999999999E-2</v>
      </c>
      <c r="AZ15" s="25">
        <v>8.4000000000000005E-2</v>
      </c>
      <c r="BA15" s="25">
        <v>0.45900000000000002</v>
      </c>
      <c r="BB15" s="25">
        <v>0.20799999999999999</v>
      </c>
      <c r="BC15" s="25">
        <v>0.80900000000000005</v>
      </c>
      <c r="BD15" s="25">
        <v>-7.5999999999999998E-2</v>
      </c>
      <c r="BE15" s="25">
        <v>0.16900000000000001</v>
      </c>
      <c r="BF15" s="25">
        <v>9.2999999999999999E-2</v>
      </c>
      <c r="BG15" s="25">
        <v>-0.121</v>
      </c>
      <c r="BH15" s="25">
        <v>-0.34399999999999997</v>
      </c>
      <c r="BI15" s="25">
        <v>0.27900000000000003</v>
      </c>
      <c r="BJ15" s="25">
        <v>-0.45600000000000002</v>
      </c>
      <c r="BK15" s="25">
        <v>-0.06</v>
      </c>
      <c r="BL15" s="25">
        <v>-0.154</v>
      </c>
      <c r="BM15" s="25">
        <v>0.26600000000000001</v>
      </c>
      <c r="BN15" s="25">
        <v>7.3999999999999996E-2</v>
      </c>
      <c r="BO15" s="25">
        <v>-9.6000000000000002E-2</v>
      </c>
      <c r="BP15" s="25">
        <v>0.28999999999999998</v>
      </c>
      <c r="BQ15" s="25">
        <v>-0.16</v>
      </c>
      <c r="BR15" s="25">
        <v>-6.6000000000000003E-2</v>
      </c>
      <c r="BS15" s="25">
        <v>1.7999999999999999E-2</v>
      </c>
      <c r="BT15" s="25">
        <v>-2.8000000000000001E-2</v>
      </c>
      <c r="BU15" s="25">
        <v>0.11600000000000001</v>
      </c>
      <c r="BV15" s="25">
        <v>0.317</v>
      </c>
      <c r="BW15" s="25">
        <v>-2.1999999999999999E-2</v>
      </c>
      <c r="BX15" s="25">
        <v>-7.4999999999999997E-2</v>
      </c>
      <c r="BY15" s="25">
        <v>0.10199999999999999</v>
      </c>
      <c r="BZ15" s="25">
        <v>0.27700000000000002</v>
      </c>
      <c r="CA15" s="25">
        <v>5.7000000000000002E-2</v>
      </c>
      <c r="CB15" s="25">
        <v>3.9E-2</v>
      </c>
      <c r="CC15" s="25">
        <v>-5.2999999999999999E-2</v>
      </c>
      <c r="CD15" s="25">
        <v>0.193</v>
      </c>
      <c r="CE15" s="25">
        <v>0.59799999999999998</v>
      </c>
      <c r="CF15" s="25">
        <v>7.5999999999999998E-2</v>
      </c>
      <c r="CG15" s="25">
        <v>-7.3999999999999996E-2</v>
      </c>
      <c r="CH15" s="25">
        <v>0.65800000000000003</v>
      </c>
      <c r="CI15" s="25">
        <v>8.7999999999999995E-2</v>
      </c>
      <c r="CJ15" s="25">
        <v>0.21199999999999999</v>
      </c>
      <c r="CK15" s="25">
        <v>4.5999999999999999E-2</v>
      </c>
      <c r="CL15" s="25">
        <v>-5.7000000000000002E-2</v>
      </c>
      <c r="CM15" s="25">
        <v>3.5000000000000003E-2</v>
      </c>
      <c r="CN15" s="25">
        <v>-0.14799999999999999</v>
      </c>
      <c r="CO15" s="25">
        <v>5.2999999999999999E-2</v>
      </c>
      <c r="CP15" s="25">
        <v>0.124</v>
      </c>
      <c r="CQ15" s="25">
        <v>-0.105</v>
      </c>
      <c r="CR15" s="25">
        <v>-5.2999999999999999E-2</v>
      </c>
      <c r="CS15" s="25">
        <v>0.14399999999999999</v>
      </c>
      <c r="CT15" s="25">
        <v>0.13300000000000001</v>
      </c>
      <c r="CU15" s="25">
        <v>6.0999999999999999E-2</v>
      </c>
      <c r="CV15" s="25">
        <v>4.4999999999999998E-2</v>
      </c>
      <c r="CW15" s="25">
        <v>8.7999999999999995E-2</v>
      </c>
      <c r="CX15" s="25">
        <v>6.8000000000000005E-2</v>
      </c>
      <c r="CY15" s="25">
        <v>0.17</v>
      </c>
      <c r="CZ15" s="25">
        <v>-0.11899999999999999</v>
      </c>
      <c r="DA15" s="25">
        <v>5.0000000000000001E-3</v>
      </c>
      <c r="DB15" s="25">
        <v>-0.13</v>
      </c>
      <c r="DC15" s="25">
        <v>-0.13800000000000001</v>
      </c>
      <c r="DD15" s="25">
        <v>0.18</v>
      </c>
      <c r="DE15" s="25">
        <v>7.0000000000000007E-2</v>
      </c>
      <c r="DF15" s="25">
        <v>-5.7000000000000002E-2</v>
      </c>
      <c r="DG15" s="25">
        <v>-4.5999999999999999E-2</v>
      </c>
      <c r="DH15" s="25">
        <v>0.154</v>
      </c>
      <c r="DI15" s="25">
        <v>2.9000000000000001E-2</v>
      </c>
      <c r="DJ15" s="25">
        <v>0.124</v>
      </c>
      <c r="DK15" s="25">
        <v>2.8000000000000001E-2</v>
      </c>
      <c r="DL15" s="25">
        <v>0.72399999999999998</v>
      </c>
      <c r="DM15" s="25">
        <v>0.56200000000000006</v>
      </c>
      <c r="DN15" s="25">
        <v>3.2000000000000001E-2</v>
      </c>
      <c r="DO15" s="25">
        <v>0.45800000000000002</v>
      </c>
      <c r="DP15" s="25">
        <v>-2.8000000000000001E-2</v>
      </c>
      <c r="DQ15" s="25">
        <v>4.9000000000000002E-2</v>
      </c>
      <c r="DR15" s="25">
        <v>5.2999999999999999E-2</v>
      </c>
      <c r="DS15" s="25">
        <v>5.8999999999999999E-3</v>
      </c>
      <c r="DT15" s="25">
        <v>0.23799999999999999</v>
      </c>
      <c r="DU15" s="25">
        <v>0.23300000000000001</v>
      </c>
      <c r="DV15" s="25">
        <v>0.14399999999999999</v>
      </c>
      <c r="DW15" s="25">
        <v>0.221</v>
      </c>
      <c r="DX15" s="25">
        <v>0.23899999999999999</v>
      </c>
    </row>
    <row r="16" spans="1:128" x14ac:dyDescent="0.25">
      <c r="A16" s="25" t="s">
        <v>570</v>
      </c>
      <c r="B16" s="25">
        <v>10</v>
      </c>
      <c r="C16" s="25">
        <v>1998</v>
      </c>
      <c r="D16" s="25" t="s">
        <v>363</v>
      </c>
      <c r="E16" s="25" t="s">
        <v>372</v>
      </c>
      <c r="F16" s="25" t="s">
        <v>362</v>
      </c>
      <c r="G16" s="25" t="s">
        <v>571</v>
      </c>
      <c r="H16" s="25">
        <v>3</v>
      </c>
      <c r="I16" s="25">
        <v>145</v>
      </c>
      <c r="J16" s="28">
        <v>100</v>
      </c>
      <c r="K16" s="29">
        <v>21.65</v>
      </c>
      <c r="L16" s="25">
        <v>0</v>
      </c>
      <c r="M16" s="25">
        <v>5</v>
      </c>
      <c r="N16" s="25">
        <v>4</v>
      </c>
      <c r="O16" s="25">
        <v>0</v>
      </c>
      <c r="P16" s="25">
        <v>3</v>
      </c>
      <c r="Q16" s="25">
        <v>2</v>
      </c>
      <c r="S16" s="25">
        <v>-0.03</v>
      </c>
      <c r="T16" s="25">
        <v>0.02</v>
      </c>
      <c r="U16" s="25">
        <v>0.98</v>
      </c>
      <c r="V16" s="25">
        <v>0.12</v>
      </c>
      <c r="W16" s="25">
        <v>0.01</v>
      </c>
      <c r="X16" s="25">
        <v>0.09</v>
      </c>
      <c r="Y16" s="25">
        <v>0.41</v>
      </c>
      <c r="Z16" s="25">
        <v>0.08</v>
      </c>
      <c r="AA16" s="25">
        <v>0.11</v>
      </c>
      <c r="AB16" s="25">
        <v>0.01</v>
      </c>
      <c r="AC16" s="25">
        <v>-0.12</v>
      </c>
      <c r="AD16" s="25">
        <v>0.04</v>
      </c>
      <c r="AE16" s="25">
        <v>0.03</v>
      </c>
      <c r="AF16" s="25">
        <v>0</v>
      </c>
      <c r="AG16" s="25">
        <v>-7.0000000000000007E-2</v>
      </c>
      <c r="AH16" s="25">
        <v>-0.26</v>
      </c>
      <c r="AI16" s="25">
        <v>-0.03</v>
      </c>
      <c r="AJ16" s="25">
        <v>-0.04</v>
      </c>
      <c r="AK16" s="25">
        <v>-0.01</v>
      </c>
      <c r="AL16" s="25">
        <v>0.11</v>
      </c>
      <c r="AM16" s="25">
        <v>0.7</v>
      </c>
      <c r="AN16" s="25">
        <v>0.42</v>
      </c>
      <c r="AO16" s="25">
        <v>0.02</v>
      </c>
      <c r="AP16" s="25">
        <v>0.3</v>
      </c>
      <c r="AQ16" s="25">
        <v>0.05</v>
      </c>
      <c r="AR16" s="25">
        <v>0.42</v>
      </c>
      <c r="AS16" s="25">
        <v>0.38</v>
      </c>
      <c r="AT16" s="25">
        <v>0.06</v>
      </c>
      <c r="AU16" s="25">
        <v>0.64</v>
      </c>
      <c r="AV16" s="25">
        <v>0.13</v>
      </c>
      <c r="AW16" s="25">
        <v>0.28000000000000003</v>
      </c>
      <c r="AX16" s="25">
        <v>0.1</v>
      </c>
      <c r="AY16" s="25">
        <v>0.62</v>
      </c>
      <c r="AZ16" s="25">
        <v>0.66</v>
      </c>
      <c r="BA16" s="25">
        <v>-0.05</v>
      </c>
      <c r="BB16" s="25">
        <v>0.21</v>
      </c>
      <c r="BC16" s="25">
        <v>0.04</v>
      </c>
      <c r="BD16" s="25">
        <v>0.12</v>
      </c>
      <c r="BE16" s="25">
        <v>-0.14000000000000001</v>
      </c>
      <c r="BF16" s="25">
        <v>-0.06</v>
      </c>
      <c r="BG16" s="25">
        <v>0.13</v>
      </c>
      <c r="BH16" s="25">
        <v>0.17</v>
      </c>
      <c r="BI16" s="25">
        <v>0.14000000000000001</v>
      </c>
      <c r="BJ16" s="25">
        <v>0.25</v>
      </c>
      <c r="BK16" s="25">
        <v>0.17</v>
      </c>
      <c r="BL16" s="25">
        <v>-0.06</v>
      </c>
      <c r="BM16" s="25">
        <v>-0.02</v>
      </c>
      <c r="BN16" s="25">
        <v>-0.01</v>
      </c>
      <c r="BO16" s="25">
        <v>0.05</v>
      </c>
      <c r="BP16" s="25">
        <v>0.51</v>
      </c>
      <c r="BQ16" s="25">
        <v>0.1</v>
      </c>
      <c r="BR16" s="25">
        <v>-0.09</v>
      </c>
      <c r="BS16" s="25">
        <v>-0.05</v>
      </c>
      <c r="BT16" s="25">
        <v>-0.03</v>
      </c>
      <c r="BU16" s="25">
        <v>0.32</v>
      </c>
      <c r="BV16" s="25">
        <v>0.35</v>
      </c>
      <c r="BW16" s="25">
        <v>0.12</v>
      </c>
      <c r="BX16" s="25">
        <v>0.35</v>
      </c>
      <c r="BY16" s="25">
        <v>0.64</v>
      </c>
      <c r="BZ16" s="25">
        <v>0.42</v>
      </c>
      <c r="CA16" s="25">
        <v>0.05</v>
      </c>
      <c r="CB16" s="25">
        <v>0.38</v>
      </c>
      <c r="CC16" s="25">
        <v>0.06</v>
      </c>
      <c r="CD16" s="25">
        <v>0.43</v>
      </c>
      <c r="CE16" s="25">
        <v>-0.1</v>
      </c>
      <c r="CF16" s="25">
        <v>0.33</v>
      </c>
      <c r="CG16" s="25">
        <v>-0.02</v>
      </c>
      <c r="CH16" s="25">
        <v>0.24</v>
      </c>
      <c r="CI16" s="25">
        <v>-0.03</v>
      </c>
      <c r="CJ16" s="25">
        <v>-0.05</v>
      </c>
      <c r="CK16" s="25">
        <v>0.53</v>
      </c>
      <c r="CL16" s="25">
        <v>0.51</v>
      </c>
      <c r="CM16" s="25">
        <v>0.22</v>
      </c>
      <c r="CN16" s="25">
        <v>0.03</v>
      </c>
      <c r="CO16" s="25">
        <v>0.34</v>
      </c>
      <c r="CP16" s="25">
        <v>0.03</v>
      </c>
      <c r="CQ16" s="25">
        <v>0.64</v>
      </c>
      <c r="CR16" s="25">
        <v>0.13</v>
      </c>
      <c r="CS16" s="25">
        <v>0.05</v>
      </c>
      <c r="CT16" s="25">
        <v>0.16</v>
      </c>
      <c r="DO16" s="25">
        <v>0.27</v>
      </c>
      <c r="DP16" s="25">
        <v>-0.05</v>
      </c>
      <c r="DQ16" s="25">
        <v>0.09</v>
      </c>
      <c r="DS16" s="25">
        <v>0.33</v>
      </c>
      <c r="DT16" s="25">
        <v>0.41</v>
      </c>
      <c r="DV16" s="25">
        <v>0.24</v>
      </c>
    </row>
    <row r="17" spans="1:128" x14ac:dyDescent="0.25">
      <c r="A17" s="25" t="s">
        <v>569</v>
      </c>
      <c r="B17" s="25">
        <v>11</v>
      </c>
      <c r="C17" s="25">
        <v>2000</v>
      </c>
      <c r="D17" s="25" t="s">
        <v>366</v>
      </c>
      <c r="E17" s="25" t="s">
        <v>372</v>
      </c>
      <c r="F17" s="25" t="s">
        <v>362</v>
      </c>
      <c r="G17" s="25" t="s">
        <v>447</v>
      </c>
      <c r="H17" s="25">
        <v>3</v>
      </c>
      <c r="I17" s="25">
        <v>99</v>
      </c>
      <c r="K17" s="29">
        <v>18.93</v>
      </c>
      <c r="L17" s="25">
        <v>0</v>
      </c>
      <c r="M17" s="25">
        <v>5</v>
      </c>
      <c r="N17" s="25">
        <v>3</v>
      </c>
      <c r="O17" s="25">
        <v>0</v>
      </c>
      <c r="P17" s="25">
        <v>1</v>
      </c>
      <c r="Q17" s="25">
        <v>1</v>
      </c>
      <c r="S17" s="25">
        <v>0.79800000000000004</v>
      </c>
      <c r="T17" s="25">
        <v>0.80700000000000005</v>
      </c>
      <c r="U17" s="25">
        <v>0.67600000000000005</v>
      </c>
      <c r="V17" s="25">
        <v>0.79400000000000004</v>
      </c>
      <c r="W17" s="25">
        <v>-0.123</v>
      </c>
      <c r="X17" s="25">
        <v>0.81200000000000006</v>
      </c>
      <c r="Y17" s="25">
        <v>0.29299999999999998</v>
      </c>
      <c r="Z17" s="25">
        <v>0.10199999999999999</v>
      </c>
      <c r="AA17" s="25">
        <v>0.80400000000000005</v>
      </c>
      <c r="AB17" s="25">
        <v>7.5999999999999998E-2</v>
      </c>
      <c r="AC17" s="25">
        <v>0.68600000000000005</v>
      </c>
      <c r="AD17" s="25">
        <v>0.47199999999999998</v>
      </c>
      <c r="AE17" s="25">
        <v>0.79700000000000004</v>
      </c>
      <c r="AF17" s="25">
        <v>0.68300000000000005</v>
      </c>
      <c r="AG17" s="25">
        <v>4.9000000000000002E-2</v>
      </c>
      <c r="AH17" s="25">
        <v>-6.4000000000000001E-2</v>
      </c>
      <c r="AI17" s="25">
        <v>0.41099999999999998</v>
      </c>
      <c r="AJ17" s="25">
        <v>3.1E-2</v>
      </c>
      <c r="AK17" s="25">
        <v>5.1999999999999998E-2</v>
      </c>
      <c r="AL17" s="25">
        <v>0.13400000000000001</v>
      </c>
      <c r="AM17" s="25">
        <v>0.14499999999999999</v>
      </c>
      <c r="AN17" s="25">
        <v>0.129</v>
      </c>
      <c r="AO17" s="25">
        <v>-9.9000000000000005E-2</v>
      </c>
      <c r="AP17" s="25">
        <v>0.14899999999999999</v>
      </c>
      <c r="AQ17" s="25">
        <v>0.14599999999999999</v>
      </c>
      <c r="AR17" s="25">
        <v>5.1999999999999998E-2</v>
      </c>
      <c r="AS17" s="25">
        <v>5.0999999999999997E-2</v>
      </c>
      <c r="AT17" s="25">
        <v>-0.109</v>
      </c>
      <c r="AU17" s="25">
        <v>-0.14099999999999999</v>
      </c>
      <c r="AV17" s="25">
        <v>0.61799999999999999</v>
      </c>
      <c r="AW17" s="25">
        <v>0.27</v>
      </c>
      <c r="AX17" s="25">
        <v>0.36699999999999999</v>
      </c>
      <c r="AY17" s="25">
        <v>5.2999999999999999E-2</v>
      </c>
      <c r="AZ17" s="25">
        <v>2.9000000000000001E-2</v>
      </c>
      <c r="BA17" s="25">
        <v>0.63900000000000001</v>
      </c>
      <c r="BB17" s="25">
        <v>0.16500000000000001</v>
      </c>
      <c r="BC17" s="25">
        <v>0.50600000000000001</v>
      </c>
      <c r="BD17" s="25">
        <v>-0.59199999999999997</v>
      </c>
      <c r="BE17" s="25">
        <v>0.71199999999999997</v>
      </c>
      <c r="BF17" s="25">
        <v>8.3000000000000004E-2</v>
      </c>
      <c r="BG17" s="25">
        <v>0.123</v>
      </c>
      <c r="BH17" s="25">
        <v>-0.01</v>
      </c>
      <c r="BI17" s="25">
        <v>-0.03</v>
      </c>
      <c r="BJ17" s="25">
        <v>0.186</v>
      </c>
      <c r="BK17" s="25">
        <v>0.72699999999999998</v>
      </c>
      <c r="BL17" s="25">
        <v>-8.9999999999999993E-3</v>
      </c>
      <c r="BM17" s="25">
        <v>-3.4000000000000002E-2</v>
      </c>
      <c r="BN17" s="25">
        <v>0.56599999999999995</v>
      </c>
      <c r="BO17" s="25">
        <v>-0.124</v>
      </c>
      <c r="BP17" s="25">
        <v>0.27300000000000002</v>
      </c>
      <c r="BQ17" s="25">
        <v>0.16500000000000001</v>
      </c>
      <c r="BR17" s="25">
        <v>0.123</v>
      </c>
      <c r="BS17" s="25">
        <v>3.5999999999999997E-2</v>
      </c>
      <c r="BT17" s="25">
        <v>-7.5999999999999998E-2</v>
      </c>
      <c r="BU17" s="25">
        <v>0.11700000000000001</v>
      </c>
      <c r="BV17" s="25">
        <v>0.58799999999999997</v>
      </c>
      <c r="BW17" s="25">
        <v>8.0000000000000002E-3</v>
      </c>
      <c r="BX17" s="25">
        <v>0.23699999999999999</v>
      </c>
      <c r="BY17" s="25">
        <v>0.13</v>
      </c>
      <c r="BZ17" s="25">
        <v>0.67200000000000004</v>
      </c>
      <c r="DO17" s="25">
        <v>0</v>
      </c>
      <c r="DP17" s="25">
        <v>0</v>
      </c>
      <c r="DS17" s="25">
        <v>0</v>
      </c>
    </row>
    <row r="18" spans="1:128" x14ac:dyDescent="0.25">
      <c r="A18" s="25" t="s">
        <v>625</v>
      </c>
      <c r="B18" s="25">
        <v>12</v>
      </c>
      <c r="C18" s="25">
        <v>2000</v>
      </c>
      <c r="D18" s="25" t="s">
        <v>601</v>
      </c>
      <c r="E18" s="25" t="s">
        <v>373</v>
      </c>
      <c r="F18" s="25" t="s">
        <v>533</v>
      </c>
      <c r="G18" s="25" t="s">
        <v>463</v>
      </c>
      <c r="H18" s="25">
        <v>1</v>
      </c>
      <c r="I18" s="25">
        <v>133</v>
      </c>
      <c r="J18" s="28">
        <f>70/133*100</f>
        <v>52.631578947368418</v>
      </c>
      <c r="K18" s="29">
        <v>35.619999999999997</v>
      </c>
      <c r="L18" s="25">
        <v>0</v>
      </c>
      <c r="M18" s="25">
        <v>5</v>
      </c>
      <c r="N18" s="25">
        <v>3</v>
      </c>
      <c r="O18" s="25">
        <v>1</v>
      </c>
      <c r="P18" s="25">
        <v>3</v>
      </c>
      <c r="Q18" s="25">
        <v>2</v>
      </c>
      <c r="S18" s="25">
        <v>0.64500000000000002</v>
      </c>
      <c r="T18" s="25">
        <v>0</v>
      </c>
      <c r="U18" s="25">
        <v>0.41199999999999998</v>
      </c>
      <c r="V18" s="25">
        <v>0</v>
      </c>
      <c r="W18" s="25">
        <v>0</v>
      </c>
      <c r="X18" s="25">
        <v>0.65900000000000003</v>
      </c>
      <c r="Y18" s="25">
        <v>0.60699999999999998</v>
      </c>
      <c r="Z18" s="25">
        <v>0</v>
      </c>
      <c r="AA18" s="25">
        <v>0.69899999999999995</v>
      </c>
      <c r="AB18" s="25">
        <v>0</v>
      </c>
      <c r="AC18" s="25">
        <v>0</v>
      </c>
      <c r="AD18" s="25">
        <v>0</v>
      </c>
      <c r="AE18" s="25">
        <v>0.69399999999999995</v>
      </c>
      <c r="AF18" s="25">
        <v>0.55400000000000005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0.70299999999999996</v>
      </c>
      <c r="AO18" s="25">
        <v>0</v>
      </c>
      <c r="AP18" s="25">
        <v>0.45400000000000001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0.57499999999999996</v>
      </c>
      <c r="AX18" s="25">
        <v>0.33600000000000002</v>
      </c>
      <c r="AY18" s="25">
        <v>0</v>
      </c>
      <c r="AZ18" s="25">
        <v>0</v>
      </c>
      <c r="BA18" s="25">
        <v>0</v>
      </c>
      <c r="BB18" s="25">
        <v>0</v>
      </c>
      <c r="BC18" s="25">
        <v>0.45300000000000001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1.4999999999999999E-2</v>
      </c>
      <c r="BL18" s="25">
        <v>0</v>
      </c>
      <c r="BM18" s="25">
        <v>0</v>
      </c>
      <c r="BN18" s="25">
        <v>0.28999999999999998</v>
      </c>
      <c r="BO18" s="25">
        <v>0</v>
      </c>
      <c r="BP18" s="25">
        <v>0.20100000000000001</v>
      </c>
      <c r="BQ18" s="25">
        <v>0</v>
      </c>
      <c r="BR18" s="25">
        <v>0</v>
      </c>
      <c r="BS18" s="25">
        <v>0</v>
      </c>
      <c r="BT18" s="25">
        <v>0</v>
      </c>
      <c r="BU18" s="25">
        <v>0.75800000000000001</v>
      </c>
      <c r="BV18" s="25">
        <v>0.48899999999999999</v>
      </c>
      <c r="BW18" s="25">
        <v>0</v>
      </c>
      <c r="BX18" s="25">
        <v>0.127</v>
      </c>
      <c r="BY18" s="25">
        <v>0.121</v>
      </c>
      <c r="BZ18" s="25">
        <v>0.20899999999999999</v>
      </c>
      <c r="DO18" s="25">
        <v>0.83899999999999997</v>
      </c>
      <c r="DP18" s="25">
        <v>0.22800000000000001</v>
      </c>
      <c r="DS18" s="25">
        <v>0.47599999999999998</v>
      </c>
    </row>
    <row r="19" spans="1:128" x14ac:dyDescent="0.25">
      <c r="A19" s="25" t="s">
        <v>626</v>
      </c>
      <c r="B19" s="25">
        <v>12</v>
      </c>
      <c r="C19" s="25">
        <v>2000</v>
      </c>
      <c r="D19" s="25" t="s">
        <v>601</v>
      </c>
      <c r="E19" s="25" t="s">
        <v>373</v>
      </c>
      <c r="F19" s="25" t="s">
        <v>533</v>
      </c>
      <c r="G19" s="25" t="s">
        <v>364</v>
      </c>
      <c r="H19" s="25">
        <v>1</v>
      </c>
      <c r="I19" s="25">
        <v>298</v>
      </c>
      <c r="J19" s="28">
        <f>159/298*100</f>
        <v>53.355704697986575</v>
      </c>
      <c r="K19" s="29">
        <v>24.35</v>
      </c>
      <c r="L19" s="25">
        <v>0</v>
      </c>
      <c r="M19" s="25">
        <v>5</v>
      </c>
      <c r="N19" s="25">
        <v>3</v>
      </c>
      <c r="O19" s="25">
        <v>1</v>
      </c>
      <c r="P19" s="25">
        <v>3</v>
      </c>
      <c r="Q19" s="25">
        <v>2</v>
      </c>
      <c r="S19" s="25">
        <v>0.69599999999999995</v>
      </c>
      <c r="T19" s="25">
        <v>0</v>
      </c>
      <c r="U19" s="25">
        <v>0.58199999999999996</v>
      </c>
      <c r="V19" s="25">
        <v>0</v>
      </c>
      <c r="W19" s="25">
        <v>0</v>
      </c>
      <c r="X19" s="25">
        <v>0.55100000000000005</v>
      </c>
      <c r="Y19" s="25">
        <v>0.67400000000000004</v>
      </c>
      <c r="Z19" s="25">
        <v>0</v>
      </c>
      <c r="AA19" s="25">
        <v>0.78300000000000003</v>
      </c>
      <c r="AB19" s="25">
        <v>0</v>
      </c>
      <c r="AC19" s="25">
        <v>0</v>
      </c>
      <c r="AD19" s="25">
        <v>0</v>
      </c>
      <c r="AE19" s="25">
        <v>0.64900000000000002</v>
      </c>
      <c r="AF19" s="25">
        <v>0.55000000000000004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0.68400000000000005</v>
      </c>
      <c r="AO19" s="25">
        <v>0</v>
      </c>
      <c r="AP19" s="25">
        <v>0.59599999999999997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0.69199999999999995</v>
      </c>
      <c r="AX19" s="25">
        <v>0.26400000000000001</v>
      </c>
      <c r="AY19" s="25">
        <v>0</v>
      </c>
      <c r="AZ19" s="25">
        <v>0</v>
      </c>
      <c r="BA19" s="25">
        <v>0</v>
      </c>
      <c r="BB19" s="25">
        <v>0</v>
      </c>
      <c r="BC19" s="25">
        <v>0.36499999999999999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0.36499999999999999</v>
      </c>
      <c r="BL19" s="25">
        <v>0</v>
      </c>
      <c r="BM19" s="25">
        <v>0</v>
      </c>
      <c r="BN19" s="25">
        <v>0.28100000000000003</v>
      </c>
      <c r="BO19" s="25">
        <v>0</v>
      </c>
      <c r="BP19" s="25">
        <v>0.47499999999999998</v>
      </c>
      <c r="BQ19" s="25">
        <v>0</v>
      </c>
      <c r="BR19" s="25">
        <v>0</v>
      </c>
      <c r="BS19" s="25">
        <v>0</v>
      </c>
      <c r="BT19" s="25">
        <v>0</v>
      </c>
      <c r="BU19" s="25">
        <v>0.42499999999999999</v>
      </c>
      <c r="BV19" s="25">
        <v>0.372</v>
      </c>
      <c r="BW19" s="25">
        <v>0</v>
      </c>
      <c r="BX19" s="25">
        <v>0.438</v>
      </c>
      <c r="BY19" s="25">
        <v>0.46100000000000002</v>
      </c>
      <c r="BZ19" s="25">
        <v>0.442</v>
      </c>
      <c r="DO19" s="25">
        <v>0.80100000000000005</v>
      </c>
      <c r="DP19" s="25">
        <v>2.5000000000000001E-2</v>
      </c>
      <c r="DS19" s="25">
        <v>0.23200000000000001</v>
      </c>
    </row>
    <row r="20" spans="1:128" x14ac:dyDescent="0.25">
      <c r="A20" s="25" t="s">
        <v>528</v>
      </c>
      <c r="B20" s="25">
        <v>13</v>
      </c>
      <c r="C20" s="25">
        <v>2000</v>
      </c>
      <c r="D20" s="25" t="s">
        <v>529</v>
      </c>
      <c r="E20" s="25" t="s">
        <v>373</v>
      </c>
      <c r="F20" s="25" t="s">
        <v>530</v>
      </c>
      <c r="G20" s="25" t="s">
        <v>447</v>
      </c>
      <c r="H20" s="25">
        <v>1</v>
      </c>
      <c r="I20" s="25">
        <v>157</v>
      </c>
      <c r="J20" s="28">
        <f>114/157*100</f>
        <v>72.611464968152859</v>
      </c>
      <c r="K20" s="29">
        <v>26.33</v>
      </c>
      <c r="L20" s="25">
        <v>0</v>
      </c>
      <c r="M20" s="25">
        <v>5</v>
      </c>
      <c r="N20" s="25">
        <v>3</v>
      </c>
      <c r="O20" s="25">
        <v>1</v>
      </c>
      <c r="P20" s="25">
        <v>3</v>
      </c>
      <c r="Q20" s="25">
        <v>2</v>
      </c>
      <c r="R20" s="25" t="s">
        <v>531</v>
      </c>
      <c r="S20" s="25">
        <v>0.55000000000000004</v>
      </c>
      <c r="T20" s="25">
        <v>0</v>
      </c>
      <c r="U20" s="25">
        <v>0.25</v>
      </c>
      <c r="V20" s="25">
        <v>0</v>
      </c>
      <c r="W20" s="25">
        <v>0</v>
      </c>
      <c r="X20" s="25">
        <v>0.56000000000000005</v>
      </c>
      <c r="Y20" s="25">
        <v>0.56999999999999995</v>
      </c>
      <c r="Z20" s="25">
        <v>0</v>
      </c>
      <c r="AA20" s="25">
        <v>0.72</v>
      </c>
      <c r="AB20" s="25">
        <v>0</v>
      </c>
      <c r="AC20" s="25">
        <v>0</v>
      </c>
      <c r="AD20" s="25">
        <v>0</v>
      </c>
      <c r="AE20" s="25">
        <v>0.71</v>
      </c>
      <c r="AF20" s="25">
        <v>0.64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0.78</v>
      </c>
      <c r="AO20" s="25">
        <v>0</v>
      </c>
      <c r="AP20" s="25">
        <v>0.67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0.46</v>
      </c>
      <c r="AX20" s="25">
        <v>0.55000000000000004</v>
      </c>
      <c r="AY20" s="25">
        <v>0</v>
      </c>
      <c r="AZ20" s="25">
        <v>0</v>
      </c>
      <c r="BA20" s="25">
        <v>0</v>
      </c>
      <c r="BB20" s="25">
        <v>0</v>
      </c>
      <c r="BC20" s="25">
        <v>0.61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0.61</v>
      </c>
      <c r="BL20" s="25">
        <v>0</v>
      </c>
      <c r="BM20" s="25">
        <v>0</v>
      </c>
      <c r="BN20" s="25">
        <v>0.5</v>
      </c>
      <c r="BO20" s="25">
        <v>0</v>
      </c>
      <c r="BP20" s="25">
        <v>0.59</v>
      </c>
      <c r="BQ20" s="25">
        <v>0</v>
      </c>
      <c r="BR20" s="25">
        <v>0</v>
      </c>
      <c r="BS20" s="25">
        <v>0</v>
      </c>
      <c r="BT20" s="25">
        <v>0</v>
      </c>
      <c r="BU20" s="25">
        <v>0.45</v>
      </c>
      <c r="BV20" s="25">
        <v>0.26</v>
      </c>
      <c r="BW20" s="25">
        <v>0</v>
      </c>
      <c r="BX20" s="25">
        <v>0.13</v>
      </c>
      <c r="BY20" s="25">
        <v>0.68</v>
      </c>
      <c r="BZ20" s="25">
        <v>0.39</v>
      </c>
      <c r="DO20" s="25">
        <v>0.85</v>
      </c>
      <c r="DP20" s="25">
        <v>0.22</v>
      </c>
      <c r="DS20" s="25">
        <v>0.51</v>
      </c>
    </row>
    <row r="21" spans="1:128" x14ac:dyDescent="0.25">
      <c r="A21" s="25" t="s">
        <v>605</v>
      </c>
      <c r="B21" s="25">
        <v>14</v>
      </c>
      <c r="C21" s="25">
        <v>2000</v>
      </c>
      <c r="D21" s="25" t="s">
        <v>601</v>
      </c>
      <c r="E21" s="25" t="s">
        <v>373</v>
      </c>
      <c r="F21" s="25" t="s">
        <v>533</v>
      </c>
      <c r="G21" s="25" t="s">
        <v>603</v>
      </c>
      <c r="H21" s="25">
        <v>1</v>
      </c>
      <c r="I21" s="25">
        <v>596</v>
      </c>
      <c r="J21" s="28">
        <f xml:space="preserve"> (308/468 + 25/50 + 48/74)/3*100</f>
        <v>60.225610225610225</v>
      </c>
      <c r="K21" s="29">
        <f xml:space="preserve"> 468/592*19.61 + 37*50/592 + 38.1*74/592</f>
        <v>23.389999999999997</v>
      </c>
      <c r="L21" s="25">
        <v>2</v>
      </c>
      <c r="M21" s="25">
        <v>5</v>
      </c>
      <c r="N21" s="25">
        <v>3</v>
      </c>
      <c r="O21" s="25">
        <v>0</v>
      </c>
      <c r="P21" s="25">
        <v>1</v>
      </c>
      <c r="Q21" s="25">
        <v>1</v>
      </c>
      <c r="R21" s="25" t="s">
        <v>602</v>
      </c>
      <c r="S21" s="25">
        <v>0.65</v>
      </c>
      <c r="T21" s="25">
        <v>0.66</v>
      </c>
      <c r="U21" s="25">
        <v>0.5</v>
      </c>
      <c r="V21" s="25">
        <v>0.23</v>
      </c>
      <c r="W21" s="25">
        <v>0</v>
      </c>
      <c r="X21" s="25">
        <v>0.57999999999999996</v>
      </c>
      <c r="Y21" s="25">
        <v>0.56999999999999995</v>
      </c>
      <c r="Z21" s="25">
        <v>0</v>
      </c>
      <c r="AA21" s="25">
        <v>0.76</v>
      </c>
      <c r="AB21" s="25">
        <v>0</v>
      </c>
      <c r="AC21" s="25">
        <v>0.57999999999999996</v>
      </c>
      <c r="AD21" s="25">
        <v>0.35</v>
      </c>
      <c r="AE21" s="25">
        <v>0.65</v>
      </c>
      <c r="AF21" s="25">
        <v>0.62</v>
      </c>
      <c r="AG21" s="25">
        <v>0</v>
      </c>
      <c r="AH21" s="25">
        <v>0</v>
      </c>
      <c r="AI21" s="25">
        <v>0.34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0.83</v>
      </c>
      <c r="AR21" s="25">
        <v>0</v>
      </c>
      <c r="AS21" s="25">
        <v>0</v>
      </c>
      <c r="AT21" s="25">
        <v>0</v>
      </c>
      <c r="AU21" s="25">
        <v>0</v>
      </c>
      <c r="AV21" s="25">
        <v>0.9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0.9</v>
      </c>
      <c r="BE21" s="25">
        <v>0.9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0.43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0.62</v>
      </c>
      <c r="BV21" s="25">
        <v>0.71</v>
      </c>
      <c r="BW21" s="25">
        <v>0</v>
      </c>
      <c r="BX21" s="25">
        <v>0</v>
      </c>
      <c r="BY21" s="25">
        <v>0</v>
      </c>
      <c r="BZ21" s="25">
        <v>0.65</v>
      </c>
      <c r="DO21" s="25">
        <v>0</v>
      </c>
      <c r="DP21" s="25">
        <v>0</v>
      </c>
      <c r="DS21" s="25">
        <v>0</v>
      </c>
    </row>
    <row r="22" spans="1:128" x14ac:dyDescent="0.25">
      <c r="A22" s="25" t="s">
        <v>535</v>
      </c>
      <c r="B22" s="25">
        <v>15</v>
      </c>
      <c r="C22" s="25">
        <v>2000</v>
      </c>
      <c r="D22" s="25" t="s">
        <v>366</v>
      </c>
      <c r="E22" s="25" t="s">
        <v>372</v>
      </c>
      <c r="F22" s="25" t="s">
        <v>362</v>
      </c>
      <c r="G22" s="25" t="s">
        <v>536</v>
      </c>
      <c r="H22" s="25">
        <v>1</v>
      </c>
      <c r="I22" s="25">
        <v>257</v>
      </c>
      <c r="J22" s="28">
        <f>136/257*100</f>
        <v>52.918287937743195</v>
      </c>
      <c r="K22" s="25">
        <v>42.8</v>
      </c>
      <c r="L22" s="25">
        <v>1</v>
      </c>
      <c r="M22" s="25">
        <v>5</v>
      </c>
      <c r="N22" s="25">
        <v>3</v>
      </c>
      <c r="O22" s="25">
        <v>0</v>
      </c>
      <c r="P22" s="25">
        <v>2</v>
      </c>
      <c r="Q22" s="25">
        <v>2</v>
      </c>
      <c r="R22" s="25" t="s">
        <v>537</v>
      </c>
      <c r="S22" s="25">
        <v>0.64</v>
      </c>
      <c r="T22" s="25">
        <v>0.54</v>
      </c>
      <c r="U22" s="25">
        <v>0.65</v>
      </c>
      <c r="V22" s="25">
        <v>0</v>
      </c>
      <c r="W22" s="25">
        <v>0</v>
      </c>
      <c r="X22" s="25">
        <v>0.67</v>
      </c>
      <c r="Y22" s="25">
        <v>0.74</v>
      </c>
      <c r="Z22" s="25">
        <v>0</v>
      </c>
      <c r="AA22" s="25">
        <v>0.68</v>
      </c>
      <c r="AB22" s="25">
        <v>0</v>
      </c>
      <c r="AC22" s="25">
        <v>0</v>
      </c>
      <c r="AD22" s="25">
        <v>0</v>
      </c>
      <c r="AE22" s="25">
        <v>0.66</v>
      </c>
      <c r="AF22" s="25">
        <v>0.56999999999999995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0.52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0.52</v>
      </c>
      <c r="AW22" s="25">
        <v>0.46</v>
      </c>
      <c r="AX22" s="25">
        <v>0.52</v>
      </c>
      <c r="AY22" s="25">
        <v>0</v>
      </c>
      <c r="AZ22" s="25">
        <v>0</v>
      </c>
      <c r="BA22" s="25">
        <v>0.45</v>
      </c>
      <c r="BB22" s="25">
        <v>0</v>
      </c>
      <c r="BC22" s="25">
        <v>0</v>
      </c>
      <c r="BD22" s="25">
        <v>0.59</v>
      </c>
      <c r="BE22" s="25">
        <v>0.56999999999999995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0.47</v>
      </c>
      <c r="BL22" s="25">
        <v>0</v>
      </c>
      <c r="BM22" s="25">
        <v>0</v>
      </c>
      <c r="BN22" s="25">
        <v>0.47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0.49</v>
      </c>
      <c r="BW22" s="25">
        <v>0</v>
      </c>
      <c r="BX22" s="25">
        <v>0</v>
      </c>
      <c r="BY22" s="25">
        <v>0</v>
      </c>
      <c r="BZ22" s="25">
        <v>0.47</v>
      </c>
      <c r="DO22" s="25">
        <v>0.39</v>
      </c>
      <c r="DP22" s="25">
        <v>0.35</v>
      </c>
      <c r="DS22" s="25">
        <v>0.42</v>
      </c>
    </row>
    <row r="23" spans="1:128" x14ac:dyDescent="0.25">
      <c r="A23" s="25" t="s">
        <v>497</v>
      </c>
      <c r="B23" s="25">
        <v>16</v>
      </c>
      <c r="C23" s="25">
        <v>2001</v>
      </c>
      <c r="D23" s="25" t="s">
        <v>8</v>
      </c>
      <c r="E23" s="25" t="s">
        <v>373</v>
      </c>
      <c r="F23" s="25" t="s">
        <v>11</v>
      </c>
      <c r="G23" s="25" t="s">
        <v>444</v>
      </c>
      <c r="H23" s="25">
        <v>1</v>
      </c>
      <c r="I23" s="25">
        <v>419</v>
      </c>
      <c r="J23" s="28">
        <f>272/419*100</f>
        <v>64.916467780429599</v>
      </c>
      <c r="K23" s="25">
        <v>38.299999999999997</v>
      </c>
      <c r="L23" s="25">
        <v>1</v>
      </c>
      <c r="M23" s="25">
        <v>5</v>
      </c>
      <c r="N23" s="25">
        <v>4</v>
      </c>
      <c r="O23" s="25">
        <v>0</v>
      </c>
      <c r="P23" s="25">
        <v>1</v>
      </c>
      <c r="Q23" s="25">
        <v>1</v>
      </c>
      <c r="R23" s="25" t="s">
        <v>627</v>
      </c>
      <c r="S23" s="25">
        <v>0.75</v>
      </c>
      <c r="T23" s="25">
        <v>0.73</v>
      </c>
      <c r="U23" s="25">
        <v>0</v>
      </c>
      <c r="V23" s="25">
        <v>0.49</v>
      </c>
      <c r="W23" s="25">
        <v>0</v>
      </c>
      <c r="X23" s="25">
        <v>0.56999999999999995</v>
      </c>
      <c r="Y23" s="25">
        <v>0</v>
      </c>
      <c r="Z23" s="25">
        <v>0.35</v>
      </c>
      <c r="AA23" s="25">
        <v>0.76</v>
      </c>
      <c r="AB23" s="25">
        <v>0</v>
      </c>
      <c r="AC23" s="25">
        <v>0.64</v>
      </c>
      <c r="AD23" s="25">
        <v>0.53</v>
      </c>
      <c r="AE23" s="25">
        <v>0.73</v>
      </c>
      <c r="AF23" s="25">
        <v>0.66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0.59</v>
      </c>
      <c r="AR23" s="25">
        <v>0</v>
      </c>
      <c r="AS23" s="25">
        <v>0</v>
      </c>
      <c r="AT23" s="25">
        <v>0</v>
      </c>
      <c r="AU23" s="25">
        <v>0</v>
      </c>
      <c r="AV23" s="25">
        <v>0.64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0.63</v>
      </c>
      <c r="BE23" s="25">
        <v>0.69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0.69</v>
      </c>
      <c r="BV23" s="25">
        <v>0.7</v>
      </c>
      <c r="BW23" s="25">
        <v>0.46</v>
      </c>
      <c r="BX23" s="25">
        <v>0</v>
      </c>
      <c r="BY23" s="25">
        <v>0</v>
      </c>
      <c r="BZ23" s="25">
        <v>0.48</v>
      </c>
      <c r="CA23" s="25">
        <v>0</v>
      </c>
      <c r="CB23" s="25">
        <v>0</v>
      </c>
      <c r="CC23" s="25">
        <v>0.69</v>
      </c>
      <c r="CD23" s="25">
        <v>0</v>
      </c>
      <c r="CE23" s="25">
        <v>0</v>
      </c>
      <c r="CF23" s="25">
        <v>0</v>
      </c>
      <c r="CG23" s="25">
        <v>0.76</v>
      </c>
      <c r="CH23" s="25">
        <v>0</v>
      </c>
      <c r="CI23" s="25">
        <v>0</v>
      </c>
      <c r="CJ23" s="25">
        <v>0</v>
      </c>
      <c r="CK23" s="25">
        <v>0</v>
      </c>
      <c r="CL23" s="25">
        <v>0</v>
      </c>
      <c r="CM23" s="25">
        <v>0</v>
      </c>
      <c r="CN23" s="25">
        <v>0</v>
      </c>
      <c r="CO23" s="25">
        <v>0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DO23" s="25">
        <v>0</v>
      </c>
      <c r="DP23" s="25">
        <v>0</v>
      </c>
      <c r="DQ23" s="25">
        <v>0</v>
      </c>
      <c r="DS23" s="25">
        <v>0</v>
      </c>
      <c r="DT23" s="25">
        <v>0</v>
      </c>
      <c r="DV23" s="25">
        <v>0</v>
      </c>
    </row>
    <row r="24" spans="1:128" x14ac:dyDescent="0.25">
      <c r="A24" s="25" t="s">
        <v>500</v>
      </c>
      <c r="B24" s="25">
        <v>17</v>
      </c>
      <c r="C24" s="25">
        <v>2001</v>
      </c>
      <c r="D24" s="25" t="s">
        <v>502</v>
      </c>
      <c r="E24" s="25" t="s">
        <v>373</v>
      </c>
      <c r="F24" s="25" t="s">
        <v>503</v>
      </c>
      <c r="G24" s="25" t="s">
        <v>504</v>
      </c>
      <c r="H24" s="25">
        <v>1</v>
      </c>
      <c r="I24" s="25">
        <v>2758</v>
      </c>
      <c r="J24" s="28">
        <v>100</v>
      </c>
      <c r="K24" s="25">
        <v>31</v>
      </c>
      <c r="L24" s="25">
        <v>0</v>
      </c>
      <c r="M24" s="25">
        <v>5</v>
      </c>
      <c r="N24" s="25">
        <v>3</v>
      </c>
      <c r="O24" s="25">
        <v>1</v>
      </c>
      <c r="P24" s="25">
        <v>3</v>
      </c>
      <c r="Q24" s="25">
        <v>2</v>
      </c>
      <c r="S24" s="25">
        <v>0.69299999999999995</v>
      </c>
      <c r="T24" s="25">
        <v>0</v>
      </c>
      <c r="U24" s="25">
        <v>0.42399999999999999</v>
      </c>
      <c r="V24" s="25">
        <v>0</v>
      </c>
      <c r="W24" s="25">
        <v>0</v>
      </c>
      <c r="X24" s="25">
        <v>0.57999999999999996</v>
      </c>
      <c r="Y24" s="25">
        <v>0.59899999999999998</v>
      </c>
      <c r="Z24" s="25">
        <v>0</v>
      </c>
      <c r="AA24" s="25">
        <v>0.67800000000000005</v>
      </c>
      <c r="AB24" s="25">
        <v>0</v>
      </c>
      <c r="AC24" s="25">
        <v>0</v>
      </c>
      <c r="AD24" s="25">
        <v>0</v>
      </c>
      <c r="AE24" s="25">
        <v>0.745</v>
      </c>
      <c r="AF24" s="25">
        <v>0.59599999999999997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0.80400000000000005</v>
      </c>
      <c r="AO24" s="25">
        <v>0</v>
      </c>
      <c r="AP24" s="25">
        <v>0.69799999999999995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0.59899999999999998</v>
      </c>
      <c r="AX24" s="25">
        <v>0.48699999999999999</v>
      </c>
      <c r="AY24" s="25">
        <v>0</v>
      </c>
      <c r="AZ24" s="25">
        <v>0</v>
      </c>
      <c r="BA24" s="25">
        <v>0</v>
      </c>
      <c r="BB24" s="25">
        <v>0</v>
      </c>
      <c r="BC24" s="25">
        <v>0.627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0.33300000000000002</v>
      </c>
      <c r="BL24" s="25">
        <v>0</v>
      </c>
      <c r="BM24" s="25">
        <v>0</v>
      </c>
      <c r="BN24" s="25">
        <v>0.38900000000000001</v>
      </c>
      <c r="BO24" s="25">
        <v>0</v>
      </c>
      <c r="BP24" s="25">
        <v>0.45700000000000002</v>
      </c>
      <c r="BQ24" s="25">
        <v>0</v>
      </c>
      <c r="BR24" s="25">
        <v>0</v>
      </c>
      <c r="BS24" s="25">
        <v>0</v>
      </c>
      <c r="BT24" s="25">
        <v>0</v>
      </c>
      <c r="BU24" s="25">
        <v>0.50900000000000001</v>
      </c>
      <c r="BV24" s="25">
        <v>0.42</v>
      </c>
      <c r="BW24" s="25">
        <v>0</v>
      </c>
      <c r="BX24" s="25">
        <v>0.35899999999999999</v>
      </c>
      <c r="BY24" s="25">
        <v>0.53</v>
      </c>
      <c r="BZ24" s="25">
        <v>0.47399999999999998</v>
      </c>
      <c r="DO24" s="25">
        <v>0.71099999999999997</v>
      </c>
      <c r="DP24" s="25">
        <v>0.34699999999999998</v>
      </c>
      <c r="DS24" s="25">
        <v>0.55900000000000005</v>
      </c>
    </row>
    <row r="25" spans="1:128" x14ac:dyDescent="0.25">
      <c r="A25" s="25" t="s">
        <v>501</v>
      </c>
      <c r="B25" s="25">
        <v>17</v>
      </c>
      <c r="C25" s="25">
        <v>2001</v>
      </c>
      <c r="D25" s="25" t="s">
        <v>502</v>
      </c>
      <c r="E25" s="25" t="s">
        <v>373</v>
      </c>
      <c r="F25" s="25" t="s">
        <v>503</v>
      </c>
      <c r="G25" s="25" t="s">
        <v>504</v>
      </c>
      <c r="H25" s="25">
        <v>1</v>
      </c>
      <c r="I25" s="25">
        <v>2276</v>
      </c>
      <c r="J25" s="28">
        <v>0</v>
      </c>
      <c r="K25" s="25">
        <v>31</v>
      </c>
      <c r="L25" s="25">
        <v>0</v>
      </c>
      <c r="M25" s="25">
        <v>5</v>
      </c>
      <c r="N25" s="25">
        <v>3</v>
      </c>
      <c r="O25" s="25">
        <v>1</v>
      </c>
      <c r="P25" s="25">
        <v>3</v>
      </c>
      <c r="Q25" s="25">
        <v>2</v>
      </c>
      <c r="S25" s="25">
        <v>0.67800000000000005</v>
      </c>
      <c r="T25" s="25">
        <v>0</v>
      </c>
      <c r="U25" s="25">
        <v>0.53</v>
      </c>
      <c r="V25" s="25">
        <v>0</v>
      </c>
      <c r="W25" s="25">
        <v>0</v>
      </c>
      <c r="X25" s="25">
        <v>0.55900000000000005</v>
      </c>
      <c r="Y25" s="25">
        <v>0.65500000000000003</v>
      </c>
      <c r="Z25" s="25">
        <v>0</v>
      </c>
      <c r="AA25" s="25">
        <v>0.73299999999999998</v>
      </c>
      <c r="AB25" s="25">
        <v>0</v>
      </c>
      <c r="AC25" s="25">
        <v>0</v>
      </c>
      <c r="AD25" s="25">
        <v>0</v>
      </c>
      <c r="AE25" s="25">
        <v>0.745</v>
      </c>
      <c r="AF25" s="25">
        <v>0.57799999999999996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0.77400000000000002</v>
      </c>
      <c r="AO25" s="25">
        <v>0</v>
      </c>
      <c r="AP25" s="25">
        <v>0.67800000000000005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0.61599999999999999</v>
      </c>
      <c r="AX25" s="25">
        <v>0.41799999999999998</v>
      </c>
      <c r="AY25" s="25">
        <v>0</v>
      </c>
      <c r="AZ25" s="25">
        <v>0</v>
      </c>
      <c r="BA25" s="25">
        <v>0</v>
      </c>
      <c r="BB25" s="25">
        <v>0</v>
      </c>
      <c r="BC25" s="25">
        <v>0.64400000000000002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0.27100000000000002</v>
      </c>
      <c r="BL25" s="25">
        <v>0</v>
      </c>
      <c r="BM25" s="25">
        <v>0</v>
      </c>
      <c r="BN25" s="25">
        <v>0.40400000000000003</v>
      </c>
      <c r="BO25" s="25">
        <v>0</v>
      </c>
      <c r="BP25" s="25">
        <v>0.47399999999999998</v>
      </c>
      <c r="BQ25" s="25">
        <v>0</v>
      </c>
      <c r="BR25" s="25">
        <v>0</v>
      </c>
      <c r="BS25" s="25">
        <v>0</v>
      </c>
      <c r="BT25" s="25">
        <v>0</v>
      </c>
      <c r="BU25" s="25">
        <v>0.45700000000000002</v>
      </c>
      <c r="BV25" s="25">
        <v>0.36799999999999999</v>
      </c>
      <c r="BW25" s="25">
        <v>0</v>
      </c>
      <c r="BX25" s="25">
        <v>0.32</v>
      </c>
      <c r="BY25" s="25">
        <v>0.50700000000000001</v>
      </c>
      <c r="BZ25" s="25">
        <v>0.48499999999999999</v>
      </c>
      <c r="DO25" s="25">
        <v>0.63900000000000001</v>
      </c>
      <c r="DP25" s="25">
        <v>0.28199999999999997</v>
      </c>
      <c r="DS25" s="25">
        <v>0.54800000000000004</v>
      </c>
    </row>
    <row r="26" spans="1:128" x14ac:dyDescent="0.25">
      <c r="A26" s="25" t="s">
        <v>443</v>
      </c>
      <c r="B26" s="25">
        <v>18</v>
      </c>
      <c r="C26" s="25">
        <v>2001</v>
      </c>
      <c r="D26" s="25" t="s">
        <v>363</v>
      </c>
      <c r="E26" s="25" t="s">
        <v>372</v>
      </c>
      <c r="F26" s="25" t="s">
        <v>367</v>
      </c>
      <c r="G26" s="25" t="s">
        <v>444</v>
      </c>
      <c r="H26" s="25">
        <v>1</v>
      </c>
      <c r="I26" s="25">
        <v>1443</v>
      </c>
      <c r="J26" s="28">
        <f>458/1443*100</f>
        <v>31.73943173943174</v>
      </c>
      <c r="K26" s="29">
        <v>59</v>
      </c>
      <c r="L26" s="25">
        <v>1</v>
      </c>
      <c r="M26" s="25">
        <v>5</v>
      </c>
      <c r="N26" s="25">
        <v>3</v>
      </c>
      <c r="O26" s="25">
        <v>0</v>
      </c>
      <c r="P26" s="25">
        <v>1</v>
      </c>
      <c r="Q26" s="25">
        <v>1</v>
      </c>
      <c r="R26" s="25" t="s">
        <v>632</v>
      </c>
      <c r="S26" s="25">
        <v>0.53</v>
      </c>
      <c r="T26" s="25">
        <v>0.55000000000000004</v>
      </c>
      <c r="U26" s="25">
        <v>0.66</v>
      </c>
      <c r="V26" s="25">
        <v>0.15</v>
      </c>
      <c r="W26" s="25">
        <v>-0.03</v>
      </c>
      <c r="X26" s="25">
        <v>0.61</v>
      </c>
      <c r="Y26" s="25">
        <v>0.69</v>
      </c>
      <c r="Z26" s="25">
        <v>0.01</v>
      </c>
      <c r="AA26" s="25">
        <v>0.68</v>
      </c>
      <c r="AB26" s="25">
        <v>-0.03</v>
      </c>
      <c r="AC26" s="25">
        <v>0.66</v>
      </c>
      <c r="AD26" s="25">
        <v>0.47</v>
      </c>
      <c r="AE26" s="25">
        <v>0.73</v>
      </c>
      <c r="AF26" s="25">
        <v>0.65</v>
      </c>
      <c r="AG26" s="25">
        <v>0.05</v>
      </c>
      <c r="AH26" s="25">
        <v>7.0000000000000007E-2</v>
      </c>
      <c r="AI26" s="25">
        <v>0.4</v>
      </c>
      <c r="AJ26" s="25">
        <v>0.05</v>
      </c>
      <c r="AK26" s="25">
        <v>-0.08</v>
      </c>
      <c r="AL26" s="25">
        <v>0.28000000000000003</v>
      </c>
      <c r="AM26" s="25">
        <v>0.13</v>
      </c>
      <c r="AN26" s="25">
        <v>0.24</v>
      </c>
      <c r="AO26" s="25">
        <v>-0.12</v>
      </c>
      <c r="AP26" s="25">
        <v>0.57999999999999996</v>
      </c>
      <c r="AQ26" s="25">
        <v>0.63</v>
      </c>
      <c r="AR26" s="25">
        <v>0.08</v>
      </c>
      <c r="AS26" s="25">
        <v>-7.0000000000000007E-2</v>
      </c>
      <c r="AT26" s="25">
        <v>-0.06</v>
      </c>
      <c r="AU26" s="25">
        <v>-0.13</v>
      </c>
      <c r="AV26" s="25">
        <v>0.65</v>
      </c>
      <c r="AW26" s="25">
        <v>0.14000000000000001</v>
      </c>
      <c r="AX26" s="25">
        <v>-0.11</v>
      </c>
      <c r="AY26" s="25">
        <v>7.0000000000000007E-2</v>
      </c>
      <c r="AZ26" s="25">
        <v>0.04</v>
      </c>
      <c r="BA26" s="25">
        <v>-0.09</v>
      </c>
      <c r="BB26" s="25">
        <v>-0.17</v>
      </c>
      <c r="BC26" s="25">
        <v>7.0000000000000007E-2</v>
      </c>
      <c r="BD26" s="25">
        <v>0.56000000000000005</v>
      </c>
      <c r="BE26" s="25">
        <v>0.65</v>
      </c>
      <c r="BF26" s="25">
        <v>-0.05</v>
      </c>
      <c r="BG26" s="25">
        <v>0.2</v>
      </c>
      <c r="BH26" s="25">
        <v>0.22</v>
      </c>
      <c r="BI26" s="25">
        <v>-0.05</v>
      </c>
      <c r="BJ26" s="25">
        <v>-0.01</v>
      </c>
      <c r="BK26" s="25">
        <v>0.01</v>
      </c>
      <c r="BL26" s="25">
        <v>7.0000000000000007E-2</v>
      </c>
      <c r="BM26" s="25">
        <v>-0.15</v>
      </c>
      <c r="BN26" s="25">
        <v>0.57999999999999996</v>
      </c>
      <c r="BO26" s="25">
        <v>0.04</v>
      </c>
      <c r="BP26" s="25">
        <v>-0.04</v>
      </c>
      <c r="BQ26" s="25">
        <v>0.3</v>
      </c>
      <c r="BR26" s="25">
        <v>0.17</v>
      </c>
      <c r="BS26" s="25">
        <v>0.14000000000000001</v>
      </c>
      <c r="BT26" s="25">
        <v>0.08</v>
      </c>
      <c r="BU26" s="25">
        <v>0.72</v>
      </c>
      <c r="BV26" s="25">
        <v>0.6</v>
      </c>
      <c r="BW26" s="25">
        <v>0.45</v>
      </c>
      <c r="BX26" s="25">
        <v>-0.17</v>
      </c>
      <c r="BY26" s="25">
        <v>-0.13</v>
      </c>
      <c r="BZ26" s="25">
        <v>0.46</v>
      </c>
      <c r="DO26" s="25">
        <v>0</v>
      </c>
      <c r="DP26" s="25">
        <v>0</v>
      </c>
      <c r="DS26" s="25">
        <v>0</v>
      </c>
    </row>
    <row r="27" spans="1:128" x14ac:dyDescent="0.25">
      <c r="A27" s="25" t="s">
        <v>505</v>
      </c>
      <c r="B27" s="25">
        <v>19</v>
      </c>
      <c r="C27" s="25">
        <v>2001</v>
      </c>
      <c r="D27" s="25" t="s">
        <v>371</v>
      </c>
      <c r="E27" s="25" t="s">
        <v>373</v>
      </c>
      <c r="F27" s="25" t="s">
        <v>367</v>
      </c>
      <c r="G27" s="25" t="s">
        <v>507</v>
      </c>
      <c r="H27" s="25">
        <v>1</v>
      </c>
      <c r="I27" s="25">
        <v>659</v>
      </c>
      <c r="J27" s="28">
        <f>389/659*100</f>
        <v>59.028831562974204</v>
      </c>
      <c r="K27" s="29">
        <v>27.18</v>
      </c>
      <c r="L27" s="25">
        <v>1</v>
      </c>
      <c r="M27" s="25">
        <v>5</v>
      </c>
      <c r="N27" s="25">
        <v>3</v>
      </c>
      <c r="O27" s="25">
        <v>1</v>
      </c>
      <c r="P27" s="25">
        <v>3</v>
      </c>
      <c r="Q27" s="25">
        <v>2</v>
      </c>
      <c r="S27" s="25">
        <v>0.59</v>
      </c>
      <c r="T27" s="25">
        <v>0</v>
      </c>
      <c r="U27" s="25">
        <v>0.37</v>
      </c>
      <c r="V27" s="25">
        <v>0</v>
      </c>
      <c r="W27" s="25">
        <v>0</v>
      </c>
      <c r="X27" s="25">
        <v>0.49</v>
      </c>
      <c r="Y27" s="25">
        <v>0.34</v>
      </c>
      <c r="Z27" s="25">
        <v>0</v>
      </c>
      <c r="AA27" s="25">
        <v>0.69</v>
      </c>
      <c r="AB27" s="25">
        <v>0</v>
      </c>
      <c r="AC27" s="25">
        <v>0</v>
      </c>
      <c r="AD27" s="25">
        <v>0</v>
      </c>
      <c r="AE27" s="25">
        <v>0.63</v>
      </c>
      <c r="AF27" s="25">
        <v>0.49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0.65</v>
      </c>
      <c r="AO27" s="25">
        <v>0</v>
      </c>
      <c r="AP27" s="25">
        <v>0.55000000000000004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0.54</v>
      </c>
      <c r="AX27" s="25">
        <v>0.39</v>
      </c>
      <c r="AY27" s="25">
        <v>0</v>
      </c>
      <c r="AZ27" s="25">
        <v>0</v>
      </c>
      <c r="BA27" s="25">
        <v>0</v>
      </c>
      <c r="BB27" s="25">
        <v>0</v>
      </c>
      <c r="BC27" s="25">
        <v>0.36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0.34</v>
      </c>
      <c r="BL27" s="25">
        <v>0</v>
      </c>
      <c r="BM27" s="25">
        <v>0</v>
      </c>
      <c r="BN27" s="25">
        <v>0.39</v>
      </c>
      <c r="BO27" s="25">
        <v>0</v>
      </c>
      <c r="BP27" s="25">
        <v>0.24</v>
      </c>
      <c r="BQ27" s="25">
        <v>0</v>
      </c>
      <c r="BR27" s="25">
        <v>0</v>
      </c>
      <c r="BS27" s="25">
        <v>0</v>
      </c>
      <c r="BT27" s="25">
        <v>0</v>
      </c>
      <c r="BU27" s="25">
        <v>0.44</v>
      </c>
      <c r="BV27" s="25">
        <v>0.31</v>
      </c>
      <c r="BW27" s="25">
        <v>0</v>
      </c>
      <c r="BX27" s="25">
        <v>0.36</v>
      </c>
      <c r="BY27" s="25">
        <v>0.38</v>
      </c>
      <c r="BZ27" s="25">
        <v>0.41</v>
      </c>
      <c r="DO27" s="25">
        <v>0.8</v>
      </c>
      <c r="DP27" s="25">
        <v>0.2</v>
      </c>
      <c r="DS27" s="25">
        <v>0.35</v>
      </c>
    </row>
    <row r="28" spans="1:128" x14ac:dyDescent="0.25">
      <c r="A28" s="25" t="s">
        <v>506</v>
      </c>
      <c r="B28" s="25">
        <v>19</v>
      </c>
      <c r="C28" s="25">
        <v>2001</v>
      </c>
      <c r="D28" s="25" t="s">
        <v>371</v>
      </c>
      <c r="E28" s="25" t="s">
        <v>373</v>
      </c>
      <c r="F28" s="25" t="s">
        <v>367</v>
      </c>
      <c r="G28" s="25" t="s">
        <v>508</v>
      </c>
      <c r="H28" s="25">
        <v>1</v>
      </c>
      <c r="I28" s="25">
        <v>769</v>
      </c>
      <c r="J28" s="28">
        <f>460/769*100</f>
        <v>59.81794538361509</v>
      </c>
      <c r="K28" s="29">
        <v>27.09</v>
      </c>
      <c r="L28" s="25">
        <v>0</v>
      </c>
      <c r="M28" s="25">
        <v>5</v>
      </c>
      <c r="N28" s="25">
        <v>3</v>
      </c>
      <c r="O28" s="25">
        <v>1</v>
      </c>
      <c r="P28" s="25">
        <v>3</v>
      </c>
      <c r="Q28" s="25">
        <v>2</v>
      </c>
      <c r="S28" s="25">
        <v>0.61</v>
      </c>
      <c r="T28" s="25">
        <v>0</v>
      </c>
      <c r="U28" s="25">
        <v>0.39</v>
      </c>
      <c r="V28" s="25">
        <v>0</v>
      </c>
      <c r="W28" s="25">
        <v>0</v>
      </c>
      <c r="X28" s="25">
        <v>0.44</v>
      </c>
      <c r="Y28" s="25">
        <v>0.45</v>
      </c>
      <c r="Z28" s="25">
        <v>0</v>
      </c>
      <c r="AA28" s="25">
        <v>0.65</v>
      </c>
      <c r="AB28" s="25">
        <v>0</v>
      </c>
      <c r="AC28" s="25">
        <v>0</v>
      </c>
      <c r="AD28" s="25">
        <v>0</v>
      </c>
      <c r="AE28" s="25">
        <v>0.68</v>
      </c>
      <c r="AF28" s="25">
        <v>0.54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0.71</v>
      </c>
      <c r="AO28" s="25">
        <v>0</v>
      </c>
      <c r="AP28" s="25">
        <v>0.62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0.52</v>
      </c>
      <c r="AX28" s="25">
        <v>0.5</v>
      </c>
      <c r="AY28" s="25">
        <v>0</v>
      </c>
      <c r="AZ28" s="25">
        <v>0</v>
      </c>
      <c r="BA28" s="25">
        <v>0</v>
      </c>
      <c r="BB28" s="25">
        <v>0</v>
      </c>
      <c r="BC28" s="25">
        <v>0.48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0.34</v>
      </c>
      <c r="BL28" s="25">
        <v>0</v>
      </c>
      <c r="BM28" s="25">
        <v>0</v>
      </c>
      <c r="BN28" s="25">
        <v>0.5</v>
      </c>
      <c r="BO28" s="25">
        <v>0</v>
      </c>
      <c r="BP28" s="25">
        <v>0.17</v>
      </c>
      <c r="BQ28" s="25">
        <v>0</v>
      </c>
      <c r="BR28" s="25">
        <v>0</v>
      </c>
      <c r="BS28" s="25">
        <v>0</v>
      </c>
      <c r="BT28" s="25">
        <v>0</v>
      </c>
      <c r="BU28" s="25">
        <v>0.5</v>
      </c>
      <c r="BV28" s="25">
        <v>0.28000000000000003</v>
      </c>
      <c r="BW28" s="25">
        <v>0</v>
      </c>
      <c r="BX28" s="25">
        <v>0.3</v>
      </c>
      <c r="BY28" s="25">
        <v>0.37</v>
      </c>
      <c r="BZ28" s="25">
        <v>0.44</v>
      </c>
      <c r="DO28" s="25">
        <v>0.71</v>
      </c>
      <c r="DP28" s="25">
        <v>0.35</v>
      </c>
      <c r="DS28" s="25">
        <v>0.39</v>
      </c>
    </row>
    <row r="29" spans="1:128" x14ac:dyDescent="0.25">
      <c r="A29" s="25" t="s">
        <v>456</v>
      </c>
      <c r="B29" s="25">
        <v>20</v>
      </c>
      <c r="C29" s="25">
        <v>2001</v>
      </c>
      <c r="D29" s="25" t="s">
        <v>366</v>
      </c>
      <c r="E29" s="25" t="s">
        <v>372</v>
      </c>
      <c r="F29" s="25" t="s">
        <v>362</v>
      </c>
      <c r="G29" s="25" t="s">
        <v>364</v>
      </c>
      <c r="H29" s="25">
        <v>1</v>
      </c>
      <c r="I29" s="25">
        <v>333</v>
      </c>
      <c r="J29" s="28">
        <v>57</v>
      </c>
      <c r="K29" s="29">
        <v>21</v>
      </c>
      <c r="L29" s="25">
        <v>0</v>
      </c>
      <c r="M29" s="25">
        <v>5</v>
      </c>
      <c r="N29" s="25">
        <v>3</v>
      </c>
      <c r="O29" s="25">
        <v>1</v>
      </c>
      <c r="P29" s="25">
        <v>3</v>
      </c>
      <c r="Q29" s="25">
        <v>2</v>
      </c>
      <c r="S29" s="25">
        <v>0.66</v>
      </c>
      <c r="T29" s="25">
        <v>0</v>
      </c>
      <c r="U29" s="25">
        <v>0.34</v>
      </c>
      <c r="V29" s="25">
        <v>0</v>
      </c>
      <c r="W29" s="25">
        <v>0</v>
      </c>
      <c r="X29" s="25">
        <v>0.65</v>
      </c>
      <c r="Y29" s="25">
        <v>0.51</v>
      </c>
      <c r="Z29" s="25">
        <v>0</v>
      </c>
      <c r="AA29" s="25">
        <v>0.71</v>
      </c>
      <c r="AB29" s="25">
        <v>0</v>
      </c>
      <c r="AC29" s="25">
        <v>0</v>
      </c>
      <c r="AD29" s="25">
        <v>0</v>
      </c>
      <c r="AE29" s="25">
        <v>0.68</v>
      </c>
      <c r="AF29" s="25">
        <v>0.67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0.75</v>
      </c>
      <c r="AO29" s="25">
        <v>0</v>
      </c>
      <c r="AP29" s="25">
        <v>0.75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0.68</v>
      </c>
      <c r="AX29" s="25">
        <v>0.57999999999999996</v>
      </c>
      <c r="AY29" s="25">
        <v>0</v>
      </c>
      <c r="AZ29" s="25">
        <v>0</v>
      </c>
      <c r="BA29" s="25">
        <v>0</v>
      </c>
      <c r="BB29" s="25">
        <v>0</v>
      </c>
      <c r="BC29" s="25">
        <v>0.59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0.28999999999999998</v>
      </c>
      <c r="BL29" s="25">
        <v>0</v>
      </c>
      <c r="BM29" s="25">
        <v>0</v>
      </c>
      <c r="BN29" s="25">
        <v>0.22</v>
      </c>
      <c r="BO29" s="25">
        <v>0</v>
      </c>
      <c r="BP29" s="25">
        <v>0.56999999999999995</v>
      </c>
      <c r="BQ29" s="25">
        <v>0</v>
      </c>
      <c r="BR29" s="25">
        <v>0</v>
      </c>
      <c r="BS29" s="25">
        <v>0</v>
      </c>
      <c r="BT29" s="25">
        <v>0</v>
      </c>
      <c r="BU29" s="25">
        <v>0.55000000000000004</v>
      </c>
      <c r="BV29" s="25">
        <v>0.4</v>
      </c>
      <c r="BW29" s="25">
        <v>0</v>
      </c>
      <c r="BX29" s="25">
        <v>0.44</v>
      </c>
      <c r="BY29" s="25">
        <v>0.75</v>
      </c>
      <c r="BZ29" s="25">
        <v>0.34</v>
      </c>
      <c r="DO29" s="25">
        <v>0.54</v>
      </c>
      <c r="DP29" s="25">
        <v>-0.02</v>
      </c>
      <c r="DS29" s="25">
        <v>0.43</v>
      </c>
    </row>
    <row r="30" spans="1:128" x14ac:dyDescent="0.25">
      <c r="A30" s="25" t="s">
        <v>457</v>
      </c>
      <c r="B30" s="25">
        <v>20</v>
      </c>
      <c r="C30" s="25">
        <v>2001</v>
      </c>
      <c r="D30" s="25" t="s">
        <v>458</v>
      </c>
      <c r="E30" s="25" t="s">
        <v>459</v>
      </c>
      <c r="F30" s="25" t="s">
        <v>449</v>
      </c>
      <c r="G30" s="25" t="s">
        <v>364</v>
      </c>
      <c r="H30" s="25">
        <v>1</v>
      </c>
      <c r="I30" s="25">
        <v>228</v>
      </c>
      <c r="J30" s="28">
        <v>78</v>
      </c>
      <c r="K30" s="29">
        <v>22.6</v>
      </c>
      <c r="L30" s="25">
        <v>0</v>
      </c>
      <c r="M30" s="25">
        <v>5</v>
      </c>
      <c r="N30" s="25">
        <v>3</v>
      </c>
      <c r="O30" s="25">
        <v>1</v>
      </c>
      <c r="P30" s="25">
        <v>3</v>
      </c>
      <c r="Q30" s="25">
        <v>2</v>
      </c>
      <c r="S30" s="25">
        <v>0.32</v>
      </c>
      <c r="T30" s="25">
        <v>0</v>
      </c>
      <c r="U30" s="25">
        <v>0.4</v>
      </c>
      <c r="V30" s="25">
        <v>0</v>
      </c>
      <c r="W30" s="25">
        <v>0</v>
      </c>
      <c r="X30" s="25">
        <v>0.42</v>
      </c>
      <c r="Y30" s="25">
        <v>0.5</v>
      </c>
      <c r="Z30" s="25">
        <v>0</v>
      </c>
      <c r="AA30" s="25">
        <v>0.62</v>
      </c>
      <c r="AB30" s="25">
        <v>0</v>
      </c>
      <c r="AC30" s="25">
        <v>0</v>
      </c>
      <c r="AD30" s="25">
        <v>0</v>
      </c>
      <c r="AE30" s="25">
        <v>0.64</v>
      </c>
      <c r="AF30" s="25">
        <v>0.47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0.38</v>
      </c>
      <c r="AO30" s="25">
        <v>0</v>
      </c>
      <c r="AP30" s="25">
        <v>0.19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0.61</v>
      </c>
      <c r="AX30" s="25">
        <v>0.43</v>
      </c>
      <c r="AY30" s="25">
        <v>0</v>
      </c>
      <c r="AZ30" s="25">
        <v>0</v>
      </c>
      <c r="BA30" s="25">
        <v>0</v>
      </c>
      <c r="BB30" s="25">
        <v>0</v>
      </c>
      <c r="BC30" s="25">
        <v>0.38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0.16</v>
      </c>
      <c r="BL30" s="25">
        <v>0</v>
      </c>
      <c r="BM30" s="25">
        <v>0</v>
      </c>
      <c r="BN30" s="25">
        <v>0.4</v>
      </c>
      <c r="BO30" s="25">
        <v>0</v>
      </c>
      <c r="BP30" s="25">
        <v>7.2999999999999995E-2</v>
      </c>
      <c r="BQ30" s="25">
        <v>0</v>
      </c>
      <c r="BR30" s="25">
        <v>0</v>
      </c>
      <c r="BS30" s="25">
        <v>0</v>
      </c>
      <c r="BT30" s="25">
        <v>0</v>
      </c>
      <c r="BU30" s="25">
        <v>0.43</v>
      </c>
      <c r="BV30" s="25">
        <v>0.24</v>
      </c>
      <c r="BW30" s="25">
        <v>0</v>
      </c>
      <c r="BX30" s="25">
        <v>-0.10199999999999999</v>
      </c>
      <c r="BY30" s="25">
        <v>2.7E-2</v>
      </c>
      <c r="BZ30" s="25">
        <v>0.12</v>
      </c>
      <c r="DO30" s="25">
        <v>0.73</v>
      </c>
      <c r="DP30" s="25">
        <v>0.61</v>
      </c>
      <c r="DS30" s="25">
        <v>0.89</v>
      </c>
    </row>
    <row r="31" spans="1:128" x14ac:dyDescent="0.25">
      <c r="A31" s="25" t="s">
        <v>614</v>
      </c>
      <c r="B31" s="25">
        <v>21</v>
      </c>
      <c r="C31" s="25">
        <v>2002</v>
      </c>
      <c r="D31" s="25" t="s">
        <v>371</v>
      </c>
      <c r="E31" s="25" t="s">
        <v>373</v>
      </c>
      <c r="F31" s="25" t="s">
        <v>367</v>
      </c>
      <c r="G31" s="25" t="s">
        <v>615</v>
      </c>
      <c r="H31" s="25">
        <v>1</v>
      </c>
      <c r="I31" s="25">
        <v>192</v>
      </c>
      <c r="J31" s="28">
        <v>100</v>
      </c>
      <c r="K31" s="29"/>
      <c r="L31" s="25">
        <v>1</v>
      </c>
      <c r="M31" s="25">
        <v>5</v>
      </c>
      <c r="N31" s="25">
        <v>5</v>
      </c>
      <c r="O31" s="25">
        <v>0</v>
      </c>
      <c r="P31" s="25">
        <v>1</v>
      </c>
      <c r="Q31" s="25">
        <v>1</v>
      </c>
      <c r="R31" s="25" t="s">
        <v>616</v>
      </c>
      <c r="S31" s="25">
        <v>0.72</v>
      </c>
      <c r="T31" s="25">
        <v>0.5</v>
      </c>
      <c r="U31" s="25">
        <v>0.42</v>
      </c>
      <c r="V31" s="25">
        <v>0.15</v>
      </c>
      <c r="W31" s="25">
        <v>-0.05</v>
      </c>
      <c r="X31" s="25">
        <v>0.71</v>
      </c>
      <c r="Y31" s="25">
        <v>0.63</v>
      </c>
      <c r="Z31" s="25">
        <v>0.27</v>
      </c>
      <c r="AA31" s="25">
        <v>0.77</v>
      </c>
      <c r="AB31" s="25">
        <v>7.0000000000000007E-2</v>
      </c>
      <c r="AC31" s="25">
        <v>0.47</v>
      </c>
      <c r="AD31" s="25">
        <v>7.0000000000000007E-2</v>
      </c>
      <c r="AE31" s="25">
        <v>0.67</v>
      </c>
      <c r="AF31" s="25">
        <v>0.57999999999999996</v>
      </c>
      <c r="AG31" s="25">
        <v>0.15</v>
      </c>
      <c r="AH31" s="25">
        <v>-0.15</v>
      </c>
      <c r="AI31" s="25">
        <v>0.23</v>
      </c>
      <c r="AJ31" s="25">
        <v>0</v>
      </c>
      <c r="AK31" s="25">
        <v>-7.0000000000000007E-2</v>
      </c>
      <c r="AL31" s="25">
        <v>0.18</v>
      </c>
      <c r="AM31" s="25">
        <v>0.02</v>
      </c>
      <c r="AN31" s="25">
        <v>-0.15</v>
      </c>
      <c r="AO31" s="25">
        <v>7.0000000000000007E-2</v>
      </c>
      <c r="AP31" s="25">
        <v>-0.45</v>
      </c>
      <c r="AQ31" s="25">
        <v>-0.73</v>
      </c>
      <c r="AR31" s="25">
        <v>0.1</v>
      </c>
      <c r="AS31" s="25">
        <v>0.12</v>
      </c>
      <c r="AT31" s="25">
        <v>-7.0000000000000007E-2</v>
      </c>
      <c r="AU31" s="25">
        <v>-0.44</v>
      </c>
      <c r="AV31" s="25">
        <v>-0.54</v>
      </c>
      <c r="AW31" s="25">
        <v>0.02</v>
      </c>
      <c r="AX31" s="25">
        <v>7.0000000000000007E-2</v>
      </c>
      <c r="AY31" s="25">
        <v>-0.12</v>
      </c>
      <c r="AZ31" s="25">
        <v>-0.26</v>
      </c>
      <c r="BA31" s="25">
        <v>0.08</v>
      </c>
      <c r="BB31" s="25">
        <v>0.06</v>
      </c>
      <c r="BC31" s="25">
        <v>0.16</v>
      </c>
      <c r="BD31" s="25">
        <v>0.73</v>
      </c>
      <c r="BE31" s="25">
        <v>-0.19</v>
      </c>
      <c r="BF31" s="25">
        <v>-0.1</v>
      </c>
      <c r="BG31" s="25">
        <v>-0.17</v>
      </c>
      <c r="BH31" s="25">
        <v>-0.11</v>
      </c>
      <c r="BI31" s="25">
        <v>0.21</v>
      </c>
      <c r="BJ31" s="25">
        <v>-0.08</v>
      </c>
      <c r="BK31" s="25">
        <v>-7.0000000000000007E-2</v>
      </c>
      <c r="BL31" s="25">
        <v>0.08</v>
      </c>
      <c r="BM31" s="25">
        <v>0.15</v>
      </c>
      <c r="BN31" s="25">
        <v>0.2</v>
      </c>
      <c r="BO31" s="25">
        <v>-0.06</v>
      </c>
      <c r="BP31" s="25">
        <v>-0.14000000000000001</v>
      </c>
      <c r="BQ31" s="25">
        <v>0.21</v>
      </c>
      <c r="BR31" s="25">
        <v>0</v>
      </c>
      <c r="BS31" s="25">
        <v>0.22</v>
      </c>
      <c r="BT31" s="25">
        <v>0.08</v>
      </c>
      <c r="BU31" s="25">
        <v>0.5</v>
      </c>
      <c r="BV31" s="25">
        <v>0.73</v>
      </c>
      <c r="BW31" s="25">
        <v>0.26</v>
      </c>
      <c r="BX31" s="25">
        <v>-0.01</v>
      </c>
      <c r="BY31" s="25">
        <v>-7.0000000000000007E-2</v>
      </c>
      <c r="BZ31" s="25">
        <v>0.68</v>
      </c>
      <c r="CA31" s="25">
        <v>0.13</v>
      </c>
      <c r="CB31" s="25">
        <v>0.55000000000000004</v>
      </c>
      <c r="CC31" s="25">
        <v>-0.31</v>
      </c>
      <c r="CD31" s="25">
        <v>0.62</v>
      </c>
      <c r="CE31" s="25">
        <v>0.06</v>
      </c>
      <c r="CF31" s="25">
        <v>0.1</v>
      </c>
      <c r="CG31" s="25">
        <v>-0.14000000000000001</v>
      </c>
      <c r="CH31" s="25">
        <v>0.08</v>
      </c>
      <c r="CI31" s="25">
        <v>0.21</v>
      </c>
      <c r="CJ31" s="25">
        <v>0.08</v>
      </c>
      <c r="CK31" s="25">
        <v>0.36</v>
      </c>
      <c r="CL31" s="25">
        <v>0.69</v>
      </c>
      <c r="CM31" s="25">
        <v>0.18</v>
      </c>
      <c r="CN31" s="25">
        <v>0.26</v>
      </c>
      <c r="CO31" s="25">
        <v>0.35</v>
      </c>
      <c r="CP31" s="25">
        <v>-0.04</v>
      </c>
      <c r="CQ31" s="25">
        <v>0.56000000000000005</v>
      </c>
      <c r="CR31" s="25">
        <v>0.1</v>
      </c>
      <c r="CS31" s="25">
        <v>-0.11</v>
      </c>
      <c r="CT31" s="25">
        <v>-0.02</v>
      </c>
      <c r="CU31" s="25">
        <v>0.02</v>
      </c>
      <c r="CV31" s="25">
        <v>0.05</v>
      </c>
      <c r="CW31" s="25">
        <v>-0.31</v>
      </c>
      <c r="CX31" s="25">
        <v>0</v>
      </c>
      <c r="CY31" s="25">
        <v>0.23</v>
      </c>
      <c r="CZ31" s="25">
        <v>0.1</v>
      </c>
      <c r="DA31" s="25">
        <v>0.31</v>
      </c>
      <c r="DB31" s="25">
        <v>0.45</v>
      </c>
      <c r="DC31" s="25">
        <v>0.09</v>
      </c>
      <c r="DD31" s="25">
        <v>0.44500000000000001</v>
      </c>
      <c r="DE31" s="25">
        <v>0.23</v>
      </c>
      <c r="DF31" s="25">
        <v>-0.2</v>
      </c>
      <c r="DG31" s="25">
        <v>-0.23</v>
      </c>
      <c r="DH31" s="25">
        <v>-0.22</v>
      </c>
      <c r="DI31" s="25">
        <v>0.21</v>
      </c>
      <c r="DJ31" s="25">
        <v>0.03</v>
      </c>
      <c r="DK31" s="25">
        <v>0.19</v>
      </c>
      <c r="DL31" s="25">
        <v>0.05</v>
      </c>
      <c r="DM31" s="25">
        <v>0.79</v>
      </c>
      <c r="DN31" s="25">
        <v>-0.13</v>
      </c>
      <c r="DO31" s="25">
        <v>0</v>
      </c>
      <c r="DP31" s="25">
        <v>0</v>
      </c>
      <c r="DQ31" s="25">
        <v>0</v>
      </c>
      <c r="DR31" s="25">
        <v>0</v>
      </c>
      <c r="DS31" s="25">
        <v>0</v>
      </c>
      <c r="DT31" s="25">
        <v>0</v>
      </c>
      <c r="DU31" s="25">
        <v>0</v>
      </c>
      <c r="DV31" s="25">
        <v>0</v>
      </c>
      <c r="DW31" s="25">
        <v>0</v>
      </c>
      <c r="DX31" s="25">
        <v>0</v>
      </c>
    </row>
    <row r="32" spans="1:128" s="26" customFormat="1" x14ac:dyDescent="0.25">
      <c r="A32" s="25" t="s">
        <v>567</v>
      </c>
      <c r="B32" s="25">
        <v>22</v>
      </c>
      <c r="C32" s="25">
        <v>2003</v>
      </c>
      <c r="D32" s="25" t="s">
        <v>466</v>
      </c>
      <c r="E32" s="25" t="s">
        <v>466</v>
      </c>
      <c r="F32" s="25" t="s">
        <v>362</v>
      </c>
      <c r="G32" s="25" t="s">
        <v>568</v>
      </c>
      <c r="H32" s="25">
        <v>3</v>
      </c>
      <c r="I32" s="25">
        <v>194</v>
      </c>
      <c r="J32" s="28">
        <v>0</v>
      </c>
      <c r="K32" s="29">
        <v>15.56</v>
      </c>
      <c r="L32" s="25">
        <v>0</v>
      </c>
      <c r="M32" s="25">
        <v>5</v>
      </c>
      <c r="N32" s="25">
        <v>3</v>
      </c>
      <c r="O32" s="25">
        <v>0</v>
      </c>
      <c r="P32" s="25">
        <v>1</v>
      </c>
      <c r="Q32" s="25">
        <v>1</v>
      </c>
      <c r="R32" s="25" t="s">
        <v>634</v>
      </c>
      <c r="S32" s="25">
        <v>0.48399999999999999</v>
      </c>
      <c r="T32" s="25">
        <v>0.69099999999999995</v>
      </c>
      <c r="U32" s="25">
        <v>0.45100000000000001</v>
      </c>
      <c r="V32" s="25">
        <v>0.70599999999999996</v>
      </c>
      <c r="W32" s="25">
        <v>-0.183</v>
      </c>
      <c r="X32" s="25">
        <v>0.20399999999999999</v>
      </c>
      <c r="Y32" s="25">
        <v>0.155</v>
      </c>
      <c r="Z32" s="25">
        <v>-1E-3</v>
      </c>
      <c r="AA32" s="25">
        <v>0.54200000000000004</v>
      </c>
      <c r="AB32" s="25">
        <v>0.13100000000000001</v>
      </c>
      <c r="AC32" s="25">
        <v>0.59099999999999997</v>
      </c>
      <c r="AD32" s="25">
        <v>0.52500000000000002</v>
      </c>
      <c r="AE32" s="25">
        <v>0.49</v>
      </c>
      <c r="AF32" s="25">
        <v>0.121</v>
      </c>
      <c r="AG32" s="25">
        <v>0.155</v>
      </c>
      <c r="AH32" s="25">
        <v>-7.0000000000000001E-3</v>
      </c>
      <c r="AI32" s="25">
        <v>0.62</v>
      </c>
      <c r="AJ32" s="25">
        <v>-5.0000000000000001E-3</v>
      </c>
      <c r="AK32" s="25">
        <v>0.23899999999999999</v>
      </c>
      <c r="AL32" s="25">
        <v>0.20899999999999999</v>
      </c>
      <c r="AM32" s="25">
        <v>0.60399999999999998</v>
      </c>
      <c r="AN32" s="25">
        <v>0.33900000000000002</v>
      </c>
      <c r="AO32" s="25">
        <v>0.32600000000000001</v>
      </c>
      <c r="AP32" s="25">
        <v>0.22700000000000001</v>
      </c>
      <c r="AQ32" s="25">
        <v>0.17399999999999999</v>
      </c>
      <c r="AR32" s="25">
        <v>0.72199999999999998</v>
      </c>
      <c r="AS32" s="25">
        <v>0.70499999999999996</v>
      </c>
      <c r="AT32" s="25">
        <v>0.317</v>
      </c>
      <c r="AU32" s="25">
        <v>0.48099999999999998</v>
      </c>
      <c r="AV32" s="25">
        <v>-6.0000000000000001E-3</v>
      </c>
      <c r="AW32" s="25">
        <v>0.222</v>
      </c>
      <c r="AX32" s="25">
        <v>-8.9999999999999993E-3</v>
      </c>
      <c r="AY32" s="25">
        <v>0.47899999999999998</v>
      </c>
      <c r="AZ32" s="25">
        <v>0.60599999999999998</v>
      </c>
      <c r="BA32" s="25">
        <v>-0.17799999999999999</v>
      </c>
      <c r="BB32" s="25">
        <v>-1E-3</v>
      </c>
      <c r="BC32" s="25">
        <v>-8.0000000000000002E-3</v>
      </c>
      <c r="BD32" s="25">
        <v>0.13700000000000001</v>
      </c>
      <c r="BE32" s="25">
        <v>-8.9999999999999993E-3</v>
      </c>
      <c r="BF32" s="25">
        <v>0.186</v>
      </c>
      <c r="BG32" s="25">
        <v>-3.0000000000000001E-3</v>
      </c>
      <c r="BH32" s="25">
        <v>0.129</v>
      </c>
      <c r="BI32" s="25">
        <v>-0.17199999999999999</v>
      </c>
      <c r="BJ32" s="25">
        <v>0.311</v>
      </c>
      <c r="BK32" s="25">
        <v>0.48899999999999999</v>
      </c>
      <c r="BL32" s="25">
        <v>-0.17199999999999999</v>
      </c>
      <c r="BM32" s="25">
        <v>2E-3</v>
      </c>
      <c r="BN32" s="25">
        <v>0.40600000000000003</v>
      </c>
      <c r="BO32" s="25">
        <v>-0.128</v>
      </c>
      <c r="BP32" s="25">
        <v>0.56699999999999995</v>
      </c>
      <c r="BQ32" s="25">
        <v>0.128</v>
      </c>
      <c r="BR32" s="25">
        <v>0.26700000000000002</v>
      </c>
      <c r="BS32" s="25">
        <v>-0.01</v>
      </c>
      <c r="BT32" s="25">
        <v>0.159</v>
      </c>
      <c r="BU32" s="25">
        <v>0.60699999999999998</v>
      </c>
      <c r="BV32" s="25">
        <v>0.53200000000000003</v>
      </c>
      <c r="BW32" s="25">
        <v>0.26700000000000002</v>
      </c>
      <c r="BX32" s="25">
        <v>0.57399999999999995</v>
      </c>
      <c r="BY32" s="25">
        <v>0.61</v>
      </c>
      <c r="BZ32" s="25">
        <v>0.27600000000000002</v>
      </c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>
        <v>0</v>
      </c>
      <c r="DP32" s="25">
        <v>0</v>
      </c>
      <c r="DQ32" s="25"/>
      <c r="DR32" s="25"/>
      <c r="DS32" s="25">
        <v>0</v>
      </c>
      <c r="DT32" s="25"/>
      <c r="DU32" s="25"/>
      <c r="DV32" s="25"/>
      <c r="DW32" s="25"/>
      <c r="DX32" s="25"/>
    </row>
    <row r="33" spans="1:128" x14ac:dyDescent="0.25">
      <c r="A33" s="25" t="s">
        <v>619</v>
      </c>
      <c r="B33" s="25">
        <v>23</v>
      </c>
      <c r="C33" s="25">
        <v>2006</v>
      </c>
      <c r="D33" s="25" t="s">
        <v>516</v>
      </c>
      <c r="E33" s="25" t="s">
        <v>360</v>
      </c>
      <c r="F33" s="25" t="s">
        <v>517</v>
      </c>
      <c r="G33" s="25" t="s">
        <v>364</v>
      </c>
      <c r="H33" s="25">
        <v>1</v>
      </c>
      <c r="I33" s="25">
        <v>408</v>
      </c>
      <c r="J33" s="28">
        <f>136/408*100</f>
        <v>33.333333333333329</v>
      </c>
      <c r="K33" s="29">
        <f>(23.4*272+23*136)/408</f>
        <v>23.266666666666666</v>
      </c>
      <c r="L33" s="25">
        <v>0</v>
      </c>
      <c r="M33" s="25">
        <v>5</v>
      </c>
      <c r="N33" s="25">
        <v>3</v>
      </c>
      <c r="O33" s="25">
        <v>1</v>
      </c>
      <c r="P33" s="25">
        <v>3</v>
      </c>
      <c r="Q33" s="25">
        <v>2</v>
      </c>
      <c r="R33" s="25" t="s">
        <v>618</v>
      </c>
      <c r="S33" s="25">
        <v>0.73</v>
      </c>
      <c r="T33" s="25">
        <v>0</v>
      </c>
      <c r="U33" s="25">
        <v>0.54</v>
      </c>
      <c r="V33" s="25">
        <v>0</v>
      </c>
      <c r="W33" s="25">
        <v>0</v>
      </c>
      <c r="X33" s="25">
        <v>0.57999999999999996</v>
      </c>
      <c r="Y33" s="25">
        <v>0.59</v>
      </c>
      <c r="Z33" s="25">
        <v>0</v>
      </c>
      <c r="AA33" s="25">
        <v>0.74</v>
      </c>
      <c r="AB33" s="25">
        <v>0</v>
      </c>
      <c r="AC33" s="25">
        <v>0</v>
      </c>
      <c r="AD33" s="25">
        <v>0</v>
      </c>
      <c r="AE33" s="25">
        <v>0.81</v>
      </c>
      <c r="AF33" s="25">
        <v>0.67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0.71</v>
      </c>
      <c r="AO33" s="25">
        <v>0</v>
      </c>
      <c r="AP33" s="25">
        <v>0.65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0.76</v>
      </c>
      <c r="AX33" s="25">
        <v>0.49</v>
      </c>
      <c r="AY33" s="25">
        <v>0</v>
      </c>
      <c r="AZ33" s="25">
        <v>0</v>
      </c>
      <c r="BA33" s="25">
        <v>0</v>
      </c>
      <c r="BB33" s="25">
        <v>0</v>
      </c>
      <c r="BC33" s="25">
        <v>0.55000000000000004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0.4</v>
      </c>
      <c r="BL33" s="25">
        <v>0</v>
      </c>
      <c r="BM33" s="25">
        <v>0</v>
      </c>
      <c r="BN33" s="25">
        <v>0.41</v>
      </c>
      <c r="BO33" s="25">
        <v>0</v>
      </c>
      <c r="BP33" s="25">
        <v>0.37</v>
      </c>
      <c r="BQ33" s="25">
        <v>0</v>
      </c>
      <c r="BR33" s="25">
        <v>0</v>
      </c>
      <c r="BS33" s="25">
        <v>0</v>
      </c>
      <c r="BT33" s="25">
        <v>0</v>
      </c>
      <c r="BU33" s="25">
        <v>0.4</v>
      </c>
      <c r="BV33" s="25">
        <v>0.39</v>
      </c>
      <c r="BW33" s="25">
        <v>0</v>
      </c>
      <c r="BX33" s="25">
        <v>0.27</v>
      </c>
      <c r="BY33" s="25">
        <v>0.33</v>
      </c>
      <c r="BZ33" s="25">
        <v>0.51</v>
      </c>
      <c r="DO33" s="25">
        <v>0.74</v>
      </c>
      <c r="DP33" s="25">
        <v>0.09</v>
      </c>
      <c r="DS33" s="25">
        <v>0.39</v>
      </c>
    </row>
    <row r="34" spans="1:128" x14ac:dyDescent="0.25">
      <c r="A34" s="25" t="s">
        <v>628</v>
      </c>
      <c r="B34" s="25">
        <v>24</v>
      </c>
      <c r="C34" s="25">
        <v>2006</v>
      </c>
      <c r="D34" s="25" t="s">
        <v>440</v>
      </c>
      <c r="E34" s="25" t="s">
        <v>360</v>
      </c>
      <c r="F34" s="25" t="s">
        <v>441</v>
      </c>
      <c r="G34" s="25" t="s">
        <v>622</v>
      </c>
      <c r="H34" s="25">
        <v>1</v>
      </c>
      <c r="I34" s="25">
        <v>940</v>
      </c>
      <c r="J34" s="28">
        <f>583/940*100</f>
        <v>62.021276595744681</v>
      </c>
      <c r="K34" s="29">
        <v>35.5</v>
      </c>
      <c r="L34" s="25">
        <v>1</v>
      </c>
      <c r="M34" s="25">
        <v>5</v>
      </c>
      <c r="N34" s="25">
        <v>3</v>
      </c>
      <c r="O34" s="25">
        <v>1</v>
      </c>
      <c r="P34" s="25">
        <v>3</v>
      </c>
      <c r="Q34" s="25">
        <v>2</v>
      </c>
      <c r="S34" s="25">
        <v>0.73</v>
      </c>
      <c r="T34" s="25">
        <v>0</v>
      </c>
      <c r="U34" s="25">
        <v>0.46</v>
      </c>
      <c r="V34" s="25">
        <v>0</v>
      </c>
      <c r="W34" s="25">
        <v>0</v>
      </c>
      <c r="X34" s="25">
        <v>0.68</v>
      </c>
      <c r="Y34" s="25">
        <v>0.66</v>
      </c>
      <c r="Z34" s="25">
        <v>0</v>
      </c>
      <c r="AA34" s="25">
        <v>0.79</v>
      </c>
      <c r="AB34" s="25">
        <v>0</v>
      </c>
      <c r="AC34" s="25">
        <v>0</v>
      </c>
      <c r="AD34" s="25">
        <v>0</v>
      </c>
      <c r="AE34" s="25">
        <v>0.69</v>
      </c>
      <c r="AF34" s="25">
        <v>0.55000000000000004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0.75</v>
      </c>
      <c r="AO34" s="25">
        <v>0</v>
      </c>
      <c r="AP34" s="25">
        <v>0.49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0.57999999999999996</v>
      </c>
      <c r="AX34" s="25">
        <v>0.42</v>
      </c>
      <c r="AY34" s="25">
        <v>0</v>
      </c>
      <c r="AZ34" s="25">
        <v>0</v>
      </c>
      <c r="BA34" s="25">
        <v>0</v>
      </c>
      <c r="BB34" s="25">
        <v>0</v>
      </c>
      <c r="BC34" s="25">
        <v>0.43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0.49</v>
      </c>
      <c r="BL34" s="25">
        <v>0</v>
      </c>
      <c r="BM34" s="25">
        <v>0</v>
      </c>
      <c r="BN34" s="25">
        <v>0.3</v>
      </c>
      <c r="BO34" s="25">
        <v>0</v>
      </c>
      <c r="BP34" s="25">
        <v>0.61</v>
      </c>
      <c r="BQ34" s="25">
        <v>0</v>
      </c>
      <c r="BR34" s="25">
        <v>0</v>
      </c>
      <c r="BS34" s="25">
        <v>0</v>
      </c>
      <c r="BT34" s="25">
        <v>0</v>
      </c>
      <c r="BU34" s="25">
        <v>0.08</v>
      </c>
      <c r="BV34" s="25">
        <v>0.09</v>
      </c>
      <c r="BW34" s="25">
        <v>0</v>
      </c>
      <c r="BX34" s="25">
        <v>0.26</v>
      </c>
      <c r="BY34" s="25">
        <v>0.56000000000000005</v>
      </c>
      <c r="BZ34" s="25">
        <v>7.0000000000000007E-2</v>
      </c>
      <c r="DO34" s="25">
        <v>0.55000000000000004</v>
      </c>
      <c r="DP34" s="25">
        <v>0.01</v>
      </c>
      <c r="DS34" s="25">
        <v>0.1</v>
      </c>
    </row>
    <row r="35" spans="1:128" x14ac:dyDescent="0.25">
      <c r="A35" s="25" t="s">
        <v>629</v>
      </c>
      <c r="B35" s="25">
        <v>24</v>
      </c>
      <c r="C35" s="25">
        <v>2006</v>
      </c>
      <c r="D35" s="25" t="s">
        <v>440</v>
      </c>
      <c r="E35" s="25" t="s">
        <v>360</v>
      </c>
      <c r="F35" s="25" t="s">
        <v>441</v>
      </c>
      <c r="G35" s="25" t="s">
        <v>623</v>
      </c>
      <c r="H35" s="25">
        <v>1</v>
      </c>
      <c r="I35" s="25">
        <v>347</v>
      </c>
      <c r="J35" s="28">
        <f>130/347*100</f>
        <v>37.463976945244958</v>
      </c>
      <c r="K35" s="29">
        <v>29.1</v>
      </c>
      <c r="L35" s="25">
        <v>0</v>
      </c>
      <c r="M35" s="25">
        <v>5</v>
      </c>
      <c r="N35" s="25">
        <v>3</v>
      </c>
      <c r="O35" s="25">
        <v>1</v>
      </c>
      <c r="P35" s="25">
        <v>3</v>
      </c>
      <c r="Q35" s="25">
        <v>2</v>
      </c>
      <c r="S35" s="25">
        <v>0.69</v>
      </c>
      <c r="T35" s="25">
        <v>0</v>
      </c>
      <c r="U35" s="25">
        <v>0.57999999999999996</v>
      </c>
      <c r="V35" s="25">
        <v>0</v>
      </c>
      <c r="W35" s="25">
        <v>0</v>
      </c>
      <c r="X35" s="25">
        <v>0.64</v>
      </c>
      <c r="Y35" s="25">
        <v>0.75</v>
      </c>
      <c r="Z35" s="25">
        <v>0</v>
      </c>
      <c r="AA35" s="25">
        <v>0.75</v>
      </c>
      <c r="AB35" s="25">
        <v>0</v>
      </c>
      <c r="AC35" s="25">
        <v>0</v>
      </c>
      <c r="AD35" s="25">
        <v>0</v>
      </c>
      <c r="AE35" s="25">
        <v>0.71</v>
      </c>
      <c r="AF35" s="25">
        <v>0.62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0.7</v>
      </c>
      <c r="AO35" s="25">
        <v>0</v>
      </c>
      <c r="AP35" s="25">
        <v>0.57999999999999996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0.56999999999999995</v>
      </c>
      <c r="AX35" s="25">
        <v>0.53</v>
      </c>
      <c r="AY35" s="25">
        <v>0</v>
      </c>
      <c r="AZ35" s="25">
        <v>0</v>
      </c>
      <c r="BA35" s="25">
        <v>0</v>
      </c>
      <c r="BB35" s="25">
        <v>0</v>
      </c>
      <c r="BC35" s="25">
        <v>0.49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0.33</v>
      </c>
      <c r="BL35" s="25">
        <v>0</v>
      </c>
      <c r="BM35" s="25">
        <v>0</v>
      </c>
      <c r="BN35" s="25">
        <v>0.34</v>
      </c>
      <c r="BO35" s="25">
        <v>0</v>
      </c>
      <c r="BP35" s="25">
        <v>0.47</v>
      </c>
      <c r="BQ35" s="25">
        <v>0</v>
      </c>
      <c r="BR35" s="25">
        <v>0</v>
      </c>
      <c r="BS35" s="25">
        <v>0</v>
      </c>
      <c r="BT35" s="25">
        <v>0</v>
      </c>
      <c r="BU35" s="25">
        <v>0.16</v>
      </c>
      <c r="BV35" s="25">
        <v>0.25</v>
      </c>
      <c r="BW35" s="25">
        <v>0</v>
      </c>
      <c r="BX35" s="25">
        <v>0.48</v>
      </c>
      <c r="BY35" s="25">
        <v>0.62</v>
      </c>
      <c r="BZ35" s="25">
        <v>0.32</v>
      </c>
      <c r="DO35" s="25">
        <v>0.56999999999999995</v>
      </c>
      <c r="DP35" s="25">
        <v>0</v>
      </c>
      <c r="DS35" s="25">
        <v>0.04</v>
      </c>
    </row>
    <row r="36" spans="1:128" x14ac:dyDescent="0.25">
      <c r="A36" s="25" t="s">
        <v>433</v>
      </c>
      <c r="B36" s="25">
        <v>25</v>
      </c>
      <c r="C36" s="25">
        <v>2003</v>
      </c>
      <c r="D36" s="25" t="s">
        <v>8</v>
      </c>
      <c r="E36" s="25" t="s">
        <v>373</v>
      </c>
      <c r="F36" s="25" t="s">
        <v>11</v>
      </c>
      <c r="G36" s="25" t="s">
        <v>435</v>
      </c>
      <c r="H36" s="25">
        <v>1</v>
      </c>
      <c r="I36" s="25">
        <v>204</v>
      </c>
      <c r="J36" s="28">
        <v>59.3</v>
      </c>
      <c r="K36" s="29">
        <v>47.1</v>
      </c>
      <c r="L36" s="25">
        <v>1</v>
      </c>
      <c r="M36" s="25">
        <v>5</v>
      </c>
      <c r="N36" s="25">
        <v>4</v>
      </c>
      <c r="O36" s="25">
        <v>1</v>
      </c>
      <c r="P36" s="25">
        <v>3</v>
      </c>
      <c r="Q36" s="25">
        <v>2</v>
      </c>
      <c r="S36" s="25">
        <v>0.56000000000000005</v>
      </c>
      <c r="T36" s="25">
        <v>0</v>
      </c>
      <c r="U36" s="25">
        <v>0.57999999999999996</v>
      </c>
      <c r="V36" s="25">
        <v>0</v>
      </c>
      <c r="W36" s="25">
        <v>0</v>
      </c>
      <c r="X36" s="25">
        <v>0.56000000000000005</v>
      </c>
      <c r="Y36" s="25">
        <v>0.7</v>
      </c>
      <c r="Z36" s="25">
        <v>0</v>
      </c>
      <c r="AA36" s="25">
        <v>0.77</v>
      </c>
      <c r="AB36" s="25">
        <v>0</v>
      </c>
      <c r="AC36" s="25">
        <v>0</v>
      </c>
      <c r="AD36" s="25">
        <v>0</v>
      </c>
      <c r="AE36" s="25">
        <v>0.78</v>
      </c>
      <c r="AF36" s="25">
        <v>0.6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0.78</v>
      </c>
      <c r="AO36" s="25">
        <v>0</v>
      </c>
      <c r="AP36" s="25">
        <v>0.63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0.59</v>
      </c>
      <c r="AX36" s="25">
        <v>0.38</v>
      </c>
      <c r="AY36" s="25">
        <v>0</v>
      </c>
      <c r="AZ36" s="25">
        <v>0</v>
      </c>
      <c r="BA36" s="25">
        <v>0</v>
      </c>
      <c r="BB36" s="25">
        <v>0</v>
      </c>
      <c r="BC36" s="25">
        <v>0.69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0.56000000000000005</v>
      </c>
      <c r="BQ36" s="25">
        <v>0</v>
      </c>
      <c r="BR36" s="25">
        <v>0</v>
      </c>
      <c r="BS36" s="25">
        <v>0</v>
      </c>
      <c r="BT36" s="25">
        <v>0</v>
      </c>
      <c r="BU36" s="25">
        <v>0.46</v>
      </c>
      <c r="BV36" s="25">
        <v>0.22</v>
      </c>
      <c r="BW36" s="25">
        <v>0</v>
      </c>
      <c r="BX36" s="25">
        <v>0.42</v>
      </c>
      <c r="BY36" s="25">
        <v>0.5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0.48</v>
      </c>
      <c r="CF36" s="25">
        <v>0</v>
      </c>
      <c r="CG36" s="25">
        <v>0</v>
      </c>
      <c r="CH36" s="25">
        <v>0.67</v>
      </c>
      <c r="CI36" s="25">
        <v>0</v>
      </c>
      <c r="CJ36" s="25">
        <v>0</v>
      </c>
      <c r="CK36" s="25">
        <v>0</v>
      </c>
      <c r="CL36" s="25">
        <v>0</v>
      </c>
      <c r="CM36" s="25">
        <v>0</v>
      </c>
      <c r="CN36" s="25">
        <v>0</v>
      </c>
      <c r="CO36" s="25">
        <v>0</v>
      </c>
      <c r="CP36" s="25">
        <v>0</v>
      </c>
      <c r="CQ36" s="25">
        <v>0</v>
      </c>
      <c r="CR36" s="25">
        <v>0</v>
      </c>
      <c r="CS36" s="25">
        <v>0</v>
      </c>
      <c r="CT36" s="25">
        <v>0.2</v>
      </c>
      <c r="DO36" s="25">
        <v>0.92</v>
      </c>
      <c r="DP36" s="25">
        <v>0.56000000000000005</v>
      </c>
      <c r="DQ36" s="25">
        <v>0.37</v>
      </c>
      <c r="DS36" s="25">
        <v>0.5</v>
      </c>
      <c r="DT36" s="25">
        <v>0.5</v>
      </c>
      <c r="DV36" s="25">
        <v>0.7</v>
      </c>
    </row>
    <row r="37" spans="1:128" x14ac:dyDescent="0.25">
      <c r="A37" s="25" t="s">
        <v>434</v>
      </c>
      <c r="B37" s="25">
        <v>25</v>
      </c>
      <c r="C37" s="25">
        <v>2003</v>
      </c>
      <c r="D37" s="25" t="s">
        <v>8</v>
      </c>
      <c r="E37" s="25" t="s">
        <v>373</v>
      </c>
      <c r="F37" s="25" t="s">
        <v>11</v>
      </c>
      <c r="G37" s="25" t="s">
        <v>436</v>
      </c>
      <c r="H37" s="25">
        <v>1</v>
      </c>
      <c r="I37" s="25">
        <v>224</v>
      </c>
      <c r="J37" s="28">
        <v>58.5</v>
      </c>
      <c r="K37" s="29">
        <v>41.5</v>
      </c>
      <c r="L37" s="25">
        <v>0</v>
      </c>
      <c r="M37" s="25">
        <v>5</v>
      </c>
      <c r="N37" s="25">
        <v>4</v>
      </c>
      <c r="O37" s="25">
        <v>1</v>
      </c>
      <c r="P37" s="25">
        <v>3</v>
      </c>
      <c r="Q37" s="25">
        <v>2</v>
      </c>
      <c r="S37" s="25">
        <v>0.64</v>
      </c>
      <c r="T37" s="25">
        <v>0</v>
      </c>
      <c r="U37" s="25">
        <v>0.45</v>
      </c>
      <c r="V37" s="25">
        <v>0</v>
      </c>
      <c r="W37" s="25">
        <v>0</v>
      </c>
      <c r="X37" s="25">
        <v>0.5</v>
      </c>
      <c r="Y37" s="25">
        <v>0.57999999999999996</v>
      </c>
      <c r="Z37" s="25">
        <v>0</v>
      </c>
      <c r="AA37" s="25">
        <v>0.71</v>
      </c>
      <c r="AB37" s="25">
        <v>0</v>
      </c>
      <c r="AC37" s="25">
        <v>0</v>
      </c>
      <c r="AD37" s="25">
        <v>0</v>
      </c>
      <c r="AE37" s="25">
        <v>0.62</v>
      </c>
      <c r="AF37" s="25">
        <v>0.47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0.77</v>
      </c>
      <c r="AO37" s="25">
        <v>0</v>
      </c>
      <c r="AP37" s="25">
        <v>0.32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0.62</v>
      </c>
      <c r="AX37" s="25">
        <v>0.45</v>
      </c>
      <c r="AY37" s="25">
        <v>0</v>
      </c>
      <c r="AZ37" s="25">
        <v>0</v>
      </c>
      <c r="BA37" s="25">
        <v>0</v>
      </c>
      <c r="BB37" s="25">
        <v>0</v>
      </c>
      <c r="BC37" s="25">
        <v>0.5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0.56999999999999995</v>
      </c>
      <c r="BQ37" s="25">
        <v>0</v>
      </c>
      <c r="BR37" s="25">
        <v>0</v>
      </c>
      <c r="BS37" s="25">
        <v>0</v>
      </c>
      <c r="BT37" s="25">
        <v>0</v>
      </c>
      <c r="BU37" s="25">
        <v>0.36</v>
      </c>
      <c r="BV37" s="25">
        <v>0.19</v>
      </c>
      <c r="BW37" s="25">
        <v>0</v>
      </c>
      <c r="BX37" s="25">
        <v>0.63</v>
      </c>
      <c r="BY37" s="25">
        <v>0.63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0.21</v>
      </c>
      <c r="CF37" s="25">
        <v>0</v>
      </c>
      <c r="CG37" s="25">
        <v>0</v>
      </c>
      <c r="CH37" s="25">
        <v>0.61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0.23</v>
      </c>
      <c r="DO37" s="25">
        <v>0.81</v>
      </c>
      <c r="DP37" s="25">
        <v>0.69</v>
      </c>
      <c r="DQ37" s="25">
        <v>7.0000000000000007E-2</v>
      </c>
      <c r="DS37" s="25">
        <v>0.56000000000000005</v>
      </c>
      <c r="DT37" s="25">
        <v>0.23</v>
      </c>
      <c r="DV37" s="25">
        <v>0.22</v>
      </c>
    </row>
    <row r="38" spans="1:128" x14ac:dyDescent="0.25">
      <c r="A38" s="25" t="s">
        <v>563</v>
      </c>
      <c r="B38" s="25">
        <v>26</v>
      </c>
      <c r="C38" s="25">
        <v>2003</v>
      </c>
      <c r="D38" s="25" t="s">
        <v>363</v>
      </c>
      <c r="E38" s="25" t="s">
        <v>372</v>
      </c>
      <c r="F38" s="25" t="s">
        <v>362</v>
      </c>
      <c r="G38" s="25" t="s">
        <v>463</v>
      </c>
      <c r="H38" s="25">
        <v>1</v>
      </c>
      <c r="I38" s="25">
        <v>1053</v>
      </c>
      <c r="J38" s="28">
        <v>100</v>
      </c>
      <c r="K38" s="29">
        <v>35.47</v>
      </c>
      <c r="L38" s="25">
        <v>0</v>
      </c>
      <c r="M38" s="25">
        <v>5</v>
      </c>
      <c r="N38" s="25">
        <v>3</v>
      </c>
      <c r="O38" s="25">
        <v>1</v>
      </c>
      <c r="P38" s="25">
        <v>3</v>
      </c>
      <c r="Q38" s="25">
        <v>2</v>
      </c>
      <c r="S38" s="25">
        <v>0.59</v>
      </c>
      <c r="T38" s="25">
        <v>0</v>
      </c>
      <c r="U38" s="25">
        <v>0.38</v>
      </c>
      <c r="V38" s="25">
        <v>0</v>
      </c>
      <c r="W38" s="25">
        <v>0</v>
      </c>
      <c r="X38" s="25">
        <v>0.67</v>
      </c>
      <c r="Y38" s="25">
        <v>0.53</v>
      </c>
      <c r="Z38" s="25">
        <v>0</v>
      </c>
      <c r="AA38" s="25">
        <v>0.7</v>
      </c>
      <c r="AB38" s="25">
        <v>0</v>
      </c>
      <c r="AC38" s="25">
        <v>0</v>
      </c>
      <c r="AD38" s="25">
        <v>0</v>
      </c>
      <c r="AE38" s="25">
        <v>0.67</v>
      </c>
      <c r="AF38" s="25">
        <v>0.62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0.76</v>
      </c>
      <c r="AO38" s="25">
        <v>0</v>
      </c>
      <c r="AP38" s="25">
        <v>0.62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0.63</v>
      </c>
      <c r="AX38" s="25">
        <v>0.6</v>
      </c>
      <c r="AY38" s="25">
        <v>0</v>
      </c>
      <c r="AZ38" s="25">
        <v>0</v>
      </c>
      <c r="BA38" s="25">
        <v>0</v>
      </c>
      <c r="BB38" s="25">
        <v>0</v>
      </c>
      <c r="BC38" s="25">
        <v>0.56000000000000005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0.35</v>
      </c>
      <c r="BL38" s="25">
        <v>0</v>
      </c>
      <c r="BM38" s="25">
        <v>0</v>
      </c>
      <c r="BN38" s="25">
        <v>0.46</v>
      </c>
      <c r="BO38" s="25">
        <v>0</v>
      </c>
      <c r="BP38" s="25">
        <v>0.57999999999999996</v>
      </c>
      <c r="BQ38" s="25">
        <v>0</v>
      </c>
      <c r="BR38" s="25">
        <v>0</v>
      </c>
      <c r="BS38" s="25">
        <v>0</v>
      </c>
      <c r="BT38" s="25">
        <v>0</v>
      </c>
      <c r="BU38" s="25">
        <v>0.47</v>
      </c>
      <c r="BV38" s="25">
        <v>0.37</v>
      </c>
      <c r="BW38" s="25">
        <v>0</v>
      </c>
      <c r="BX38" s="25">
        <v>0.47</v>
      </c>
      <c r="BY38" s="25">
        <v>0.61</v>
      </c>
      <c r="BZ38" s="25">
        <v>0.55000000000000004</v>
      </c>
      <c r="DO38" s="25">
        <v>0.72</v>
      </c>
      <c r="DP38" s="25">
        <v>0.51</v>
      </c>
      <c r="DS38" s="25">
        <v>0.59</v>
      </c>
    </row>
    <row r="39" spans="1:128" x14ac:dyDescent="0.25">
      <c r="A39" s="25" t="s">
        <v>564</v>
      </c>
      <c r="B39" s="25">
        <v>26</v>
      </c>
      <c r="C39" s="25">
        <v>2003</v>
      </c>
      <c r="D39" s="25" t="s">
        <v>363</v>
      </c>
      <c r="E39" s="25" t="s">
        <v>372</v>
      </c>
      <c r="F39" s="25" t="s">
        <v>362</v>
      </c>
      <c r="G39" s="25" t="s">
        <v>463</v>
      </c>
      <c r="H39" s="25">
        <v>1</v>
      </c>
      <c r="I39" s="25">
        <v>880</v>
      </c>
      <c r="J39" s="28">
        <v>0</v>
      </c>
      <c r="K39" s="29">
        <v>35.47</v>
      </c>
      <c r="L39" s="25">
        <v>0</v>
      </c>
      <c r="M39" s="25">
        <v>5</v>
      </c>
      <c r="N39" s="25">
        <v>3</v>
      </c>
      <c r="O39" s="25">
        <v>1</v>
      </c>
      <c r="P39" s="25">
        <v>3</v>
      </c>
      <c r="Q39" s="25">
        <v>2</v>
      </c>
      <c r="S39" s="25">
        <v>0.63</v>
      </c>
      <c r="T39" s="25">
        <v>0</v>
      </c>
      <c r="U39" s="25">
        <v>0.47</v>
      </c>
      <c r="V39" s="25">
        <v>0</v>
      </c>
      <c r="W39" s="25">
        <v>0</v>
      </c>
      <c r="X39" s="25">
        <v>0.59</v>
      </c>
      <c r="Y39" s="25">
        <v>0.56000000000000005</v>
      </c>
      <c r="Z39" s="25">
        <v>0</v>
      </c>
      <c r="AA39" s="25">
        <v>0.68</v>
      </c>
      <c r="AB39" s="25">
        <v>0</v>
      </c>
      <c r="AC39" s="25">
        <v>0</v>
      </c>
      <c r="AD39" s="25">
        <v>0</v>
      </c>
      <c r="AE39" s="25">
        <v>0.71</v>
      </c>
      <c r="AF39" s="25">
        <v>0.66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0.65</v>
      </c>
      <c r="AO39" s="25">
        <v>0</v>
      </c>
      <c r="AP39" s="25">
        <v>0.61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0.71</v>
      </c>
      <c r="AX39" s="25">
        <v>0.54</v>
      </c>
      <c r="AY39" s="25">
        <v>0</v>
      </c>
      <c r="AZ39" s="25">
        <v>0</v>
      </c>
      <c r="BA39" s="25">
        <v>0</v>
      </c>
      <c r="BB39" s="25">
        <v>0</v>
      </c>
      <c r="BC39" s="25">
        <v>0.56999999999999995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0.42</v>
      </c>
      <c r="BL39" s="25">
        <v>0</v>
      </c>
      <c r="BM39" s="25">
        <v>0</v>
      </c>
      <c r="BN39" s="25">
        <v>0.47</v>
      </c>
      <c r="BO39" s="25">
        <v>0</v>
      </c>
      <c r="BP39" s="25">
        <v>0.59</v>
      </c>
      <c r="BQ39" s="25">
        <v>0</v>
      </c>
      <c r="BR39" s="25">
        <v>0</v>
      </c>
      <c r="BS39" s="25">
        <v>0</v>
      </c>
      <c r="BT39" s="25">
        <v>0</v>
      </c>
      <c r="BU39" s="25">
        <v>0.52</v>
      </c>
      <c r="BV39" s="25">
        <v>0.44</v>
      </c>
      <c r="BW39" s="25">
        <v>0</v>
      </c>
      <c r="BX39" s="25">
        <v>0.4</v>
      </c>
      <c r="BY39" s="25">
        <v>0.59</v>
      </c>
      <c r="BZ39" s="25">
        <v>0.42</v>
      </c>
      <c r="DO39" s="25">
        <v>0.77</v>
      </c>
      <c r="DP39" s="25">
        <v>0.5</v>
      </c>
      <c r="DS39" s="25">
        <v>0.66</v>
      </c>
    </row>
    <row r="40" spans="1:128" x14ac:dyDescent="0.25">
      <c r="A40" s="25" t="s">
        <v>633</v>
      </c>
      <c r="B40" s="25">
        <v>27</v>
      </c>
      <c r="C40" s="25">
        <v>2004</v>
      </c>
      <c r="D40" s="25" t="s">
        <v>580</v>
      </c>
      <c r="E40" s="25" t="s">
        <v>373</v>
      </c>
      <c r="F40" s="25" t="s">
        <v>462</v>
      </c>
      <c r="G40" s="25" t="s">
        <v>582</v>
      </c>
      <c r="H40" s="25">
        <v>1</v>
      </c>
      <c r="I40" s="25">
        <f>163+372+1168+203+313</f>
        <v>2219</v>
      </c>
      <c r="J40" s="28">
        <f>100-((163*29.45 + 372*27.69 + 1168 * 66.52 + 203*20.2 + 313*47.57)/2219)</f>
        <v>49.623073456511939</v>
      </c>
      <c r="K40" s="29">
        <f>(163*43.21 + 372*43.31 + 1168 * 37.55 + 203*34.02 + 313*21.7)/2219</f>
        <v>36.372739972960794</v>
      </c>
      <c r="L40" s="25">
        <v>2</v>
      </c>
      <c r="M40" s="25">
        <v>5</v>
      </c>
      <c r="N40" s="25">
        <v>3</v>
      </c>
      <c r="O40" s="25">
        <v>0</v>
      </c>
      <c r="P40" s="25">
        <v>1</v>
      </c>
      <c r="Q40" s="25">
        <v>1</v>
      </c>
      <c r="R40" s="25" t="s">
        <v>581</v>
      </c>
      <c r="S40" s="25">
        <v>0.64</v>
      </c>
      <c r="T40" s="25">
        <v>0.45</v>
      </c>
      <c r="U40" s="25">
        <v>0.73</v>
      </c>
      <c r="V40" s="25">
        <v>0.16</v>
      </c>
      <c r="W40" s="25">
        <v>0.04</v>
      </c>
      <c r="X40" s="25">
        <v>0.64</v>
      </c>
      <c r="Y40" s="25">
        <v>0.81</v>
      </c>
      <c r="Z40" s="25">
        <v>0.22</v>
      </c>
      <c r="AA40" s="25">
        <v>0.76</v>
      </c>
      <c r="AB40" s="25">
        <v>0.09</v>
      </c>
      <c r="AC40" s="25">
        <v>0.26</v>
      </c>
      <c r="AD40" s="25">
        <v>0.17</v>
      </c>
      <c r="AE40" s="25">
        <v>0.7</v>
      </c>
      <c r="AF40" s="25">
        <v>0.61</v>
      </c>
      <c r="AG40" s="25">
        <v>0.08</v>
      </c>
      <c r="AH40" s="25">
        <v>0.14000000000000001</v>
      </c>
      <c r="AI40" s="25">
        <v>7.0000000000000007E-2</v>
      </c>
      <c r="AJ40" s="25">
        <v>0.02</v>
      </c>
      <c r="AK40" s="25">
        <v>-0.17</v>
      </c>
      <c r="AL40" s="25">
        <v>0.14000000000000001</v>
      </c>
      <c r="AM40" s="25">
        <v>0.36</v>
      </c>
      <c r="AN40" s="25">
        <v>0.69</v>
      </c>
      <c r="AO40" s="25">
        <v>-0.03</v>
      </c>
      <c r="AP40" s="25">
        <v>0.75</v>
      </c>
      <c r="AQ40" s="25">
        <v>0.18</v>
      </c>
      <c r="AR40" s="25">
        <v>0.22</v>
      </c>
      <c r="AS40" s="25">
        <v>0.01</v>
      </c>
      <c r="AT40" s="25">
        <v>0.05</v>
      </c>
      <c r="AU40" s="25">
        <v>0.32</v>
      </c>
      <c r="AV40" s="25">
        <v>0.06</v>
      </c>
      <c r="AW40" s="25">
        <v>0.42</v>
      </c>
      <c r="AX40" s="25">
        <v>0.66</v>
      </c>
      <c r="AY40" s="25">
        <v>0.34</v>
      </c>
      <c r="AZ40" s="25">
        <v>0.23</v>
      </c>
      <c r="BA40" s="25">
        <v>0.22</v>
      </c>
      <c r="BB40" s="25">
        <v>-7.0000000000000007E-2</v>
      </c>
      <c r="BC40" s="25">
        <v>0.56999999999999995</v>
      </c>
      <c r="BD40" s="25">
        <v>0.08</v>
      </c>
      <c r="BE40" s="25">
        <v>0.11</v>
      </c>
      <c r="BF40" s="25">
        <v>-0.08</v>
      </c>
      <c r="BG40" s="25">
        <v>-0.14000000000000001</v>
      </c>
      <c r="BH40" s="25">
        <v>0.05</v>
      </c>
      <c r="BI40" s="25">
        <v>-0.01</v>
      </c>
      <c r="BJ40" s="25">
        <v>0.1</v>
      </c>
      <c r="BK40" s="25">
        <v>0.37</v>
      </c>
      <c r="BL40" s="25">
        <v>0.06</v>
      </c>
      <c r="BM40" s="25">
        <v>0.08</v>
      </c>
      <c r="BN40" s="25">
        <v>0.44</v>
      </c>
      <c r="BO40" s="25">
        <v>-0.04</v>
      </c>
      <c r="BP40" s="25">
        <v>0.5</v>
      </c>
      <c r="BQ40" s="25">
        <v>0.27</v>
      </c>
      <c r="BR40" s="25">
        <v>0.12</v>
      </c>
      <c r="BS40" s="25">
        <v>0.16</v>
      </c>
      <c r="BT40" s="25">
        <v>0.17</v>
      </c>
      <c r="BU40" s="25">
        <v>0.6</v>
      </c>
      <c r="BV40" s="25">
        <v>0.6</v>
      </c>
      <c r="BW40" s="25">
        <v>0.35</v>
      </c>
      <c r="BX40" s="25">
        <v>0.49</v>
      </c>
      <c r="BY40" s="25">
        <v>0.55000000000000004</v>
      </c>
      <c r="BZ40" s="25">
        <v>0.49</v>
      </c>
      <c r="DO40" s="25">
        <v>0</v>
      </c>
      <c r="DP40" s="25">
        <v>0</v>
      </c>
      <c r="DS40" s="25">
        <v>0</v>
      </c>
    </row>
    <row r="41" spans="1:128" x14ac:dyDescent="0.25">
      <c r="A41" s="25" t="s">
        <v>429</v>
      </c>
      <c r="B41" s="25">
        <v>28</v>
      </c>
      <c r="C41" s="25">
        <v>2005</v>
      </c>
      <c r="D41" s="25" t="s">
        <v>366</v>
      </c>
      <c r="E41" s="25" t="s">
        <v>372</v>
      </c>
      <c r="F41" s="25" t="s">
        <v>362</v>
      </c>
      <c r="G41" s="25" t="s">
        <v>430</v>
      </c>
      <c r="H41" s="25">
        <v>1</v>
      </c>
      <c r="I41" s="25">
        <v>220</v>
      </c>
      <c r="J41" s="28">
        <v>28</v>
      </c>
      <c r="K41" s="25">
        <v>41</v>
      </c>
      <c r="L41" s="25">
        <v>1</v>
      </c>
      <c r="M41" s="25">
        <v>5</v>
      </c>
      <c r="N41" s="25">
        <v>2</v>
      </c>
      <c r="O41" s="25">
        <v>0</v>
      </c>
      <c r="P41" s="25">
        <v>3</v>
      </c>
      <c r="Q41" s="25">
        <v>2</v>
      </c>
      <c r="R41" s="25" t="s">
        <v>613</v>
      </c>
      <c r="S41" s="25">
        <v>0.77</v>
      </c>
      <c r="T41" s="25">
        <v>0.54</v>
      </c>
      <c r="U41" s="25">
        <v>0.52</v>
      </c>
      <c r="V41" s="25">
        <v>0.2</v>
      </c>
      <c r="W41" s="25">
        <v>-0.05</v>
      </c>
      <c r="X41" s="25">
        <v>0.72</v>
      </c>
      <c r="Y41" s="25">
        <v>0.56000000000000005</v>
      </c>
      <c r="Z41" s="25">
        <v>0.27</v>
      </c>
      <c r="AA41" s="25">
        <v>0.61</v>
      </c>
      <c r="AB41" s="25">
        <v>-0.19</v>
      </c>
      <c r="AC41" s="25">
        <v>0.4</v>
      </c>
      <c r="AD41" s="25">
        <v>0.26</v>
      </c>
      <c r="AE41" s="25">
        <v>0.66</v>
      </c>
      <c r="AF41" s="25">
        <v>0.71</v>
      </c>
      <c r="AG41" s="25">
        <v>0.02</v>
      </c>
      <c r="AH41" s="25">
        <v>0.03</v>
      </c>
      <c r="AI41" s="25">
        <v>0.16</v>
      </c>
      <c r="AJ41" s="25">
        <v>0.05</v>
      </c>
      <c r="AK41" s="25">
        <v>-0.12</v>
      </c>
      <c r="AL41" s="25">
        <v>-0.01</v>
      </c>
      <c r="AM41" s="25">
        <v>-0.03</v>
      </c>
      <c r="AN41" s="25">
        <v>0.39</v>
      </c>
      <c r="AO41" s="25">
        <v>-0.1</v>
      </c>
      <c r="AP41" s="25">
        <v>0.44</v>
      </c>
      <c r="AQ41" s="25">
        <v>0.31</v>
      </c>
      <c r="AR41" s="25">
        <v>0.03</v>
      </c>
      <c r="AS41" s="25">
        <v>-0.15</v>
      </c>
      <c r="AT41" s="25">
        <v>0.09</v>
      </c>
      <c r="AU41" s="25">
        <v>0.24</v>
      </c>
      <c r="AV41" s="25">
        <v>0.5</v>
      </c>
      <c r="AW41" s="25">
        <v>0.4</v>
      </c>
      <c r="AX41" s="25">
        <v>0.3</v>
      </c>
      <c r="AY41" s="25">
        <v>0.17</v>
      </c>
      <c r="AZ41" s="25">
        <v>0.03</v>
      </c>
      <c r="BA41" s="25">
        <v>0.5</v>
      </c>
      <c r="BB41" s="25">
        <v>0.4</v>
      </c>
      <c r="BC41" s="25">
        <v>0.52</v>
      </c>
      <c r="BD41" s="25">
        <v>0.39</v>
      </c>
      <c r="BE41" s="25">
        <v>0.64</v>
      </c>
      <c r="BF41" s="25">
        <v>0.28000000000000003</v>
      </c>
      <c r="DO41" s="25">
        <v>0.37</v>
      </c>
    </row>
    <row r="42" spans="1:128" x14ac:dyDescent="0.25">
      <c r="A42" s="25" t="s">
        <v>561</v>
      </c>
      <c r="B42" s="25">
        <v>29</v>
      </c>
      <c r="C42" s="25">
        <v>2005</v>
      </c>
      <c r="D42" s="25" t="s">
        <v>363</v>
      </c>
      <c r="E42" s="25" t="s">
        <v>372</v>
      </c>
      <c r="F42" s="25" t="s">
        <v>362</v>
      </c>
      <c r="G42" s="25" t="s">
        <v>565</v>
      </c>
      <c r="H42" s="25">
        <v>1</v>
      </c>
      <c r="I42" s="25">
        <v>123</v>
      </c>
      <c r="J42" s="28">
        <f>75/123*100</f>
        <v>60.975609756097562</v>
      </c>
      <c r="K42" s="25">
        <v>33.9</v>
      </c>
      <c r="L42" s="25">
        <v>0</v>
      </c>
      <c r="M42" s="25">
        <v>5</v>
      </c>
      <c r="N42" s="25">
        <v>3</v>
      </c>
      <c r="O42" s="25">
        <v>1</v>
      </c>
      <c r="P42" s="25">
        <v>3</v>
      </c>
      <c r="Q42" s="25">
        <v>2</v>
      </c>
      <c r="S42" s="25">
        <v>0.67</v>
      </c>
      <c r="T42" s="25">
        <v>0</v>
      </c>
      <c r="U42" s="25">
        <v>0.36</v>
      </c>
      <c r="V42" s="25">
        <v>0</v>
      </c>
      <c r="W42" s="25">
        <v>0</v>
      </c>
      <c r="X42" s="25">
        <v>0.56999999999999995</v>
      </c>
      <c r="Y42" s="25">
        <v>0.75</v>
      </c>
      <c r="Z42" s="25">
        <v>0</v>
      </c>
      <c r="AA42" s="25">
        <v>0.78</v>
      </c>
      <c r="AB42" s="25">
        <v>0</v>
      </c>
      <c r="AC42" s="25">
        <v>0</v>
      </c>
      <c r="AD42" s="25">
        <v>0</v>
      </c>
      <c r="AE42" s="25">
        <v>0.73</v>
      </c>
      <c r="AF42" s="25">
        <v>0.77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0.73</v>
      </c>
      <c r="AO42" s="25">
        <v>0</v>
      </c>
      <c r="AP42" s="25">
        <v>0.59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0.66</v>
      </c>
      <c r="AX42" s="25">
        <v>0.5</v>
      </c>
      <c r="AY42" s="25">
        <v>0</v>
      </c>
      <c r="AZ42" s="25">
        <v>0</v>
      </c>
      <c r="BA42" s="25">
        <v>0</v>
      </c>
      <c r="BB42" s="25">
        <v>0</v>
      </c>
      <c r="BC42" s="25">
        <v>0.53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0.26</v>
      </c>
      <c r="BL42" s="25">
        <v>0</v>
      </c>
      <c r="BM42" s="25">
        <v>0</v>
      </c>
      <c r="BN42" s="25">
        <v>0.45</v>
      </c>
      <c r="BO42" s="25">
        <v>0</v>
      </c>
      <c r="BP42" s="25">
        <v>0.6</v>
      </c>
      <c r="BQ42" s="25">
        <v>0</v>
      </c>
      <c r="BR42" s="25">
        <v>0</v>
      </c>
      <c r="BS42" s="25">
        <v>0</v>
      </c>
      <c r="BT42" s="25">
        <v>0</v>
      </c>
      <c r="BU42" s="25">
        <v>0.91</v>
      </c>
      <c r="BV42" s="25">
        <v>0.44</v>
      </c>
      <c r="BW42" s="25">
        <v>0</v>
      </c>
      <c r="BX42" s="25">
        <v>0.34</v>
      </c>
      <c r="BY42" s="25">
        <v>0.38</v>
      </c>
      <c r="BZ42" s="25">
        <v>0.41</v>
      </c>
      <c r="DO42" s="25">
        <v>0.78</v>
      </c>
      <c r="DP42" s="25">
        <v>0.43</v>
      </c>
      <c r="DS42" s="25">
        <v>0.64</v>
      </c>
    </row>
    <row r="43" spans="1:128" x14ac:dyDescent="0.25">
      <c r="A43" s="25" t="s">
        <v>562</v>
      </c>
      <c r="B43" s="25">
        <v>29</v>
      </c>
      <c r="C43" s="25">
        <v>2005</v>
      </c>
      <c r="D43" s="25" t="s">
        <v>363</v>
      </c>
      <c r="E43" s="25" t="s">
        <v>372</v>
      </c>
      <c r="F43" s="25" t="s">
        <v>362</v>
      </c>
      <c r="G43" s="25" t="s">
        <v>566</v>
      </c>
      <c r="H43" s="25">
        <v>1</v>
      </c>
      <c r="I43" s="25">
        <v>102</v>
      </c>
      <c r="J43" s="28">
        <v>0</v>
      </c>
      <c r="K43" s="25">
        <v>35.299999999999997</v>
      </c>
      <c r="L43" s="25">
        <v>0</v>
      </c>
      <c r="M43" s="25">
        <v>5</v>
      </c>
      <c r="N43" s="25">
        <v>3</v>
      </c>
      <c r="O43" s="25">
        <v>1</v>
      </c>
      <c r="P43" s="25">
        <v>3</v>
      </c>
      <c r="Q43" s="25">
        <v>2</v>
      </c>
      <c r="S43" s="25">
        <v>0.69</v>
      </c>
      <c r="T43" s="25">
        <v>0</v>
      </c>
      <c r="U43" s="25">
        <v>0.56000000000000005</v>
      </c>
      <c r="V43" s="25">
        <v>0</v>
      </c>
      <c r="W43" s="25">
        <v>0</v>
      </c>
      <c r="X43" s="25">
        <v>0.68</v>
      </c>
      <c r="Y43" s="25">
        <v>0.7</v>
      </c>
      <c r="Z43" s="25">
        <v>0</v>
      </c>
      <c r="AA43" s="25">
        <v>0.85</v>
      </c>
      <c r="AB43" s="25">
        <v>0</v>
      </c>
      <c r="AC43" s="25">
        <v>0</v>
      </c>
      <c r="AD43" s="25">
        <v>0</v>
      </c>
      <c r="AE43" s="25">
        <v>0.76</v>
      </c>
      <c r="AF43" s="25">
        <v>0.56000000000000005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0.87</v>
      </c>
      <c r="AO43" s="25">
        <v>0</v>
      </c>
      <c r="AP43" s="25">
        <v>0.34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0.46</v>
      </c>
      <c r="AX43" s="25">
        <v>0.33</v>
      </c>
      <c r="AY43" s="25">
        <v>0</v>
      </c>
      <c r="AZ43" s="25">
        <v>0</v>
      </c>
      <c r="BA43" s="25">
        <v>0</v>
      </c>
      <c r="BB43" s="25">
        <v>0</v>
      </c>
      <c r="BC43" s="25">
        <v>0.59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0.23</v>
      </c>
      <c r="BL43" s="25">
        <v>0</v>
      </c>
      <c r="BM43" s="25">
        <v>0</v>
      </c>
      <c r="BN43" s="25">
        <v>0.65</v>
      </c>
      <c r="BO43" s="25">
        <v>0</v>
      </c>
      <c r="BP43" s="25">
        <v>0.41</v>
      </c>
      <c r="BQ43" s="25">
        <v>0</v>
      </c>
      <c r="BR43" s="25">
        <v>0</v>
      </c>
      <c r="BS43" s="25">
        <v>0</v>
      </c>
      <c r="BT43" s="25">
        <v>0</v>
      </c>
      <c r="BU43" s="25">
        <v>0.37</v>
      </c>
      <c r="BV43" s="25">
        <v>0.25</v>
      </c>
      <c r="BW43" s="25">
        <v>0</v>
      </c>
      <c r="BX43" s="25">
        <v>0.5</v>
      </c>
      <c r="BY43" s="25">
        <v>0.51</v>
      </c>
      <c r="BZ43" s="25">
        <v>0.25</v>
      </c>
      <c r="DO43" s="25">
        <v>0.76</v>
      </c>
      <c r="DP43" s="25">
        <v>0.57999999999999996</v>
      </c>
      <c r="DS43" s="25">
        <v>0.73</v>
      </c>
    </row>
    <row r="44" spans="1:128" x14ac:dyDescent="0.25">
      <c r="A44" s="25" t="s">
        <v>495</v>
      </c>
      <c r="B44" s="25">
        <v>30</v>
      </c>
      <c r="C44" s="25">
        <v>2005</v>
      </c>
      <c r="D44" s="25" t="s">
        <v>585</v>
      </c>
      <c r="E44" s="25" t="s">
        <v>373</v>
      </c>
      <c r="F44" s="25" t="s">
        <v>362</v>
      </c>
      <c r="G44" s="25" t="s">
        <v>583</v>
      </c>
      <c r="H44" s="25">
        <v>1</v>
      </c>
      <c r="I44" s="25">
        <v>300</v>
      </c>
      <c r="J44" s="28">
        <v>46</v>
      </c>
      <c r="K44" s="25">
        <v>43.4</v>
      </c>
      <c r="L44" s="25">
        <v>0</v>
      </c>
      <c r="M44" s="25">
        <v>5</v>
      </c>
      <c r="N44" s="25">
        <v>4</v>
      </c>
      <c r="O44" s="25">
        <v>0</v>
      </c>
      <c r="P44" s="25">
        <v>1</v>
      </c>
      <c r="Q44" s="25">
        <v>1</v>
      </c>
      <c r="R44" s="25" t="s">
        <v>584</v>
      </c>
      <c r="S44" s="25">
        <v>0.78</v>
      </c>
      <c r="T44" s="25">
        <v>0.74</v>
      </c>
      <c r="U44" s="25">
        <v>0.69</v>
      </c>
      <c r="V44" s="25">
        <v>0.39</v>
      </c>
      <c r="W44" s="25">
        <v>-0.09</v>
      </c>
      <c r="X44" s="25">
        <v>0.75</v>
      </c>
      <c r="Y44" s="25">
        <v>0.72</v>
      </c>
      <c r="Z44" s="25">
        <v>0.26</v>
      </c>
      <c r="AA44" s="25">
        <v>0.44</v>
      </c>
      <c r="AB44" s="25">
        <v>-0.16</v>
      </c>
      <c r="AC44" s="25">
        <v>0.68</v>
      </c>
      <c r="AD44" s="25">
        <v>0.47</v>
      </c>
      <c r="AE44" s="25">
        <v>0.73</v>
      </c>
      <c r="AF44" s="25">
        <v>0.7</v>
      </c>
      <c r="AG44" s="25">
        <v>0.19</v>
      </c>
      <c r="AH44" s="25">
        <v>-0.05</v>
      </c>
      <c r="AI44" s="25">
        <v>0.5</v>
      </c>
      <c r="AJ44" s="25">
        <v>0.14000000000000001</v>
      </c>
      <c r="AK44" s="25">
        <v>-0.08</v>
      </c>
      <c r="AL44" s="25">
        <v>0.28000000000000003</v>
      </c>
      <c r="AM44" s="25">
        <v>-0.06</v>
      </c>
      <c r="AN44" s="25">
        <v>0.14000000000000001</v>
      </c>
      <c r="AO44" s="25">
        <v>-0.09</v>
      </c>
      <c r="AP44" s="25">
        <v>0.49</v>
      </c>
      <c r="AQ44" s="25">
        <v>0.33</v>
      </c>
      <c r="AR44" s="25">
        <v>0.02</v>
      </c>
      <c r="AS44" s="25">
        <v>-0.18</v>
      </c>
      <c r="AT44" s="25">
        <v>-0.03</v>
      </c>
      <c r="AU44" s="25">
        <v>7.0000000000000007E-2</v>
      </c>
      <c r="AV44" s="25">
        <v>0.68</v>
      </c>
      <c r="AW44" s="25">
        <v>0.09</v>
      </c>
      <c r="AX44" s="25">
        <v>-0.08</v>
      </c>
      <c r="AY44" s="25">
        <v>-0.04</v>
      </c>
      <c r="AZ44" s="25">
        <v>0.1</v>
      </c>
      <c r="BA44" s="25">
        <v>0.2</v>
      </c>
      <c r="BB44" s="25">
        <v>-0.09</v>
      </c>
      <c r="BC44" s="25">
        <v>0.36</v>
      </c>
      <c r="BD44" s="25">
        <v>0.57999999999999996</v>
      </c>
      <c r="BE44" s="25">
        <v>0.69</v>
      </c>
      <c r="BF44" s="25">
        <v>-0.22</v>
      </c>
      <c r="BG44" s="25">
        <v>0.08</v>
      </c>
      <c r="BH44" s="25">
        <v>0.18</v>
      </c>
      <c r="BI44" s="25">
        <v>-0.14000000000000001</v>
      </c>
      <c r="BJ44" s="25">
        <v>-0.08</v>
      </c>
      <c r="BK44" s="25">
        <v>0.08</v>
      </c>
      <c r="BL44" s="25">
        <v>0.08</v>
      </c>
      <c r="BM44" s="25">
        <v>-7.0000000000000007E-2</v>
      </c>
      <c r="BN44" s="25">
        <v>0.14000000000000001</v>
      </c>
      <c r="BO44" s="25">
        <v>-0.27</v>
      </c>
      <c r="BP44" s="25">
        <v>-0.01</v>
      </c>
      <c r="BQ44" s="25">
        <v>0.08</v>
      </c>
      <c r="BR44" s="25">
        <v>0.28000000000000003</v>
      </c>
      <c r="BS44" s="25">
        <v>0.23</v>
      </c>
      <c r="BT44" s="25">
        <v>0.17</v>
      </c>
      <c r="BU44" s="25">
        <v>0.62</v>
      </c>
      <c r="BV44" s="25">
        <v>0.72</v>
      </c>
      <c r="BW44" s="25">
        <v>0.45</v>
      </c>
      <c r="BX44" s="25">
        <v>-0.09</v>
      </c>
      <c r="BY44" s="25">
        <v>0.12</v>
      </c>
      <c r="BZ44" s="25">
        <v>0.52</v>
      </c>
      <c r="CA44" s="25">
        <v>0.05</v>
      </c>
      <c r="CB44" s="25">
        <v>-0.05</v>
      </c>
      <c r="CC44" s="25">
        <v>0.31</v>
      </c>
      <c r="CD44" s="25">
        <v>-0.26</v>
      </c>
      <c r="CE44" s="25">
        <v>0.57999999999999996</v>
      </c>
      <c r="CF44" s="25">
        <v>0.06</v>
      </c>
      <c r="CG44" s="25">
        <v>0.2</v>
      </c>
      <c r="CH44" s="25">
        <v>0.64</v>
      </c>
      <c r="CI44" s="25">
        <v>0.33</v>
      </c>
      <c r="CJ44" s="25">
        <v>-0.04</v>
      </c>
      <c r="CK44" s="25">
        <v>-0.06</v>
      </c>
      <c r="CL44" s="25">
        <v>-4.0000000000000001E-3</v>
      </c>
      <c r="CM44" s="25">
        <v>0.02</v>
      </c>
      <c r="CN44" s="25">
        <v>0.06</v>
      </c>
      <c r="CO44" s="25">
        <v>0.02</v>
      </c>
      <c r="CP44" s="25">
        <v>0.11</v>
      </c>
      <c r="CQ44" s="25">
        <v>-0.18</v>
      </c>
      <c r="CR44" s="25">
        <v>0.12</v>
      </c>
      <c r="CS44" s="25">
        <v>0.25</v>
      </c>
      <c r="CT44" s="25">
        <v>0.1</v>
      </c>
      <c r="DO44" s="25">
        <v>0</v>
      </c>
      <c r="DP44" s="25">
        <v>0</v>
      </c>
      <c r="DQ44" s="25">
        <v>0</v>
      </c>
      <c r="DS44" s="25">
        <v>0</v>
      </c>
      <c r="DT44" s="25">
        <v>0</v>
      </c>
      <c r="DV44" s="25">
        <v>0</v>
      </c>
    </row>
    <row r="45" spans="1:128" x14ac:dyDescent="0.25">
      <c r="A45" s="25" t="s">
        <v>496</v>
      </c>
      <c r="B45" s="25">
        <v>31</v>
      </c>
      <c r="C45" s="25">
        <v>2005</v>
      </c>
      <c r="D45" s="25" t="s">
        <v>586</v>
      </c>
      <c r="E45" s="25" t="s">
        <v>373</v>
      </c>
      <c r="F45" s="25" t="s">
        <v>367</v>
      </c>
      <c r="G45" s="25" t="s">
        <v>447</v>
      </c>
      <c r="H45" s="25">
        <v>1</v>
      </c>
      <c r="I45" s="25">
        <v>286</v>
      </c>
      <c r="J45" s="28">
        <f>190/286*100</f>
        <v>66.43356643356644</v>
      </c>
      <c r="K45" s="25">
        <v>21.9</v>
      </c>
      <c r="L45" s="25">
        <v>0</v>
      </c>
      <c r="M45" s="25">
        <v>5</v>
      </c>
      <c r="N45" s="25">
        <v>3</v>
      </c>
      <c r="O45" s="25">
        <v>0</v>
      </c>
      <c r="P45" s="25">
        <v>1</v>
      </c>
      <c r="Q45" s="25">
        <v>1</v>
      </c>
      <c r="S45" s="25">
        <v>0.5</v>
      </c>
      <c r="T45" s="25">
        <v>0.74</v>
      </c>
      <c r="U45" s="25">
        <v>0</v>
      </c>
      <c r="V45" s="25">
        <v>0.75</v>
      </c>
      <c r="W45" s="25">
        <v>0</v>
      </c>
      <c r="X45" s="25">
        <v>0.39</v>
      </c>
      <c r="Y45" s="25">
        <v>0</v>
      </c>
      <c r="Z45" s="25">
        <v>0</v>
      </c>
      <c r="AA45" s="25">
        <v>0.65</v>
      </c>
      <c r="AB45" s="25">
        <v>0.27</v>
      </c>
      <c r="AC45" s="25">
        <v>0.62</v>
      </c>
      <c r="AD45" s="25">
        <v>0.64</v>
      </c>
      <c r="AE45" s="25">
        <v>0.5</v>
      </c>
      <c r="AF45" s="25">
        <v>0</v>
      </c>
      <c r="AG45" s="25">
        <v>0</v>
      </c>
      <c r="AH45" s="25">
        <v>0</v>
      </c>
      <c r="AI45" s="25">
        <v>0.59</v>
      </c>
      <c r="AJ45" s="25">
        <v>0</v>
      </c>
      <c r="AK45" s="25">
        <v>0.21</v>
      </c>
      <c r="AL45" s="25">
        <v>0</v>
      </c>
      <c r="AM45" s="25">
        <v>0.37</v>
      </c>
      <c r="AN45" s="25">
        <v>0</v>
      </c>
      <c r="AO45" s="25">
        <v>0.61</v>
      </c>
      <c r="AP45" s="25">
        <v>0</v>
      </c>
      <c r="AQ45" s="25">
        <v>0</v>
      </c>
      <c r="AR45" s="25">
        <v>0.4</v>
      </c>
      <c r="AS45" s="25">
        <v>0.72</v>
      </c>
      <c r="AT45" s="25">
        <v>0</v>
      </c>
      <c r="AU45" s="25">
        <v>0.37</v>
      </c>
      <c r="AV45" s="25">
        <v>0.38</v>
      </c>
      <c r="AW45" s="25">
        <v>0.23</v>
      </c>
      <c r="AX45" s="25">
        <v>0</v>
      </c>
      <c r="AY45" s="25">
        <v>0.45</v>
      </c>
      <c r="AZ45" s="25">
        <v>0.56000000000000005</v>
      </c>
      <c r="BA45" s="25">
        <v>0</v>
      </c>
      <c r="BB45" s="25">
        <v>0</v>
      </c>
      <c r="BC45" s="25">
        <v>0</v>
      </c>
      <c r="BD45" s="25">
        <v>0</v>
      </c>
      <c r="BE45" s="25">
        <v>-0.26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0.39</v>
      </c>
      <c r="BL45" s="25">
        <v>0</v>
      </c>
      <c r="BM45" s="25">
        <v>0</v>
      </c>
      <c r="BN45" s="25">
        <v>0.37</v>
      </c>
      <c r="BO45" s="25">
        <v>0</v>
      </c>
      <c r="BP45" s="25">
        <v>0.25</v>
      </c>
      <c r="BQ45" s="25">
        <v>0</v>
      </c>
      <c r="BR45" s="25">
        <v>0</v>
      </c>
      <c r="BS45" s="25">
        <v>0</v>
      </c>
      <c r="BT45" s="25">
        <v>0.22</v>
      </c>
      <c r="BU45" s="25">
        <v>0.59</v>
      </c>
      <c r="BV45" s="25">
        <v>0.59</v>
      </c>
      <c r="BW45" s="25">
        <v>0</v>
      </c>
      <c r="BX45" s="25">
        <v>0.37</v>
      </c>
      <c r="BY45" s="25">
        <v>0.32</v>
      </c>
      <c r="BZ45" s="25">
        <v>0.62</v>
      </c>
      <c r="DO45" s="25">
        <v>0</v>
      </c>
      <c r="DP45" s="25">
        <v>0</v>
      </c>
      <c r="DS45" s="25">
        <v>0</v>
      </c>
    </row>
    <row r="46" spans="1:128" x14ac:dyDescent="0.25">
      <c r="A46" s="25" t="s">
        <v>476</v>
      </c>
      <c r="B46" s="25">
        <v>32</v>
      </c>
      <c r="C46" s="25">
        <v>2007</v>
      </c>
      <c r="D46" s="25" t="s">
        <v>477</v>
      </c>
      <c r="E46" s="25" t="s">
        <v>360</v>
      </c>
      <c r="F46" s="25" t="s">
        <v>478</v>
      </c>
      <c r="G46" s="25" t="s">
        <v>447</v>
      </c>
      <c r="H46" s="25">
        <v>1</v>
      </c>
      <c r="I46" s="25">
        <v>709</v>
      </c>
      <c r="J46" s="28">
        <f>416/709*100</f>
        <v>58.674188998589557</v>
      </c>
      <c r="K46" s="29">
        <v>20.170000000000002</v>
      </c>
      <c r="L46" s="25">
        <v>0</v>
      </c>
      <c r="M46" s="25">
        <v>5</v>
      </c>
      <c r="N46" s="25">
        <v>3</v>
      </c>
      <c r="O46" s="25">
        <v>0</v>
      </c>
      <c r="P46" s="25">
        <v>1</v>
      </c>
      <c r="Q46" s="25">
        <v>2</v>
      </c>
      <c r="S46" s="25">
        <v>0.57999999999999996</v>
      </c>
      <c r="T46" s="25">
        <v>0</v>
      </c>
      <c r="U46" s="25">
        <v>0.67</v>
      </c>
      <c r="V46" s="25">
        <v>0</v>
      </c>
      <c r="W46" s="25">
        <v>0</v>
      </c>
      <c r="X46" s="25">
        <v>0.73</v>
      </c>
      <c r="Y46" s="25">
        <v>0.55000000000000004</v>
      </c>
      <c r="Z46" s="25">
        <v>0</v>
      </c>
      <c r="AA46" s="25">
        <v>0.65</v>
      </c>
      <c r="AB46" s="25">
        <v>0</v>
      </c>
      <c r="AC46" s="25">
        <v>0</v>
      </c>
      <c r="AD46" s="25">
        <v>0</v>
      </c>
      <c r="AE46" s="25">
        <v>0.63</v>
      </c>
      <c r="AF46" s="25">
        <v>0.6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0.69</v>
      </c>
      <c r="AO46" s="25">
        <v>0</v>
      </c>
      <c r="AP46" s="25">
        <v>0.71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0.63</v>
      </c>
      <c r="AX46" s="25">
        <v>0.49</v>
      </c>
      <c r="AY46" s="25">
        <v>0</v>
      </c>
      <c r="AZ46" s="25">
        <v>0</v>
      </c>
      <c r="BA46" s="25">
        <v>0</v>
      </c>
      <c r="BB46" s="25">
        <v>0</v>
      </c>
      <c r="BC46" s="25">
        <v>0.56999999999999995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0.37</v>
      </c>
      <c r="BL46" s="25">
        <v>0</v>
      </c>
      <c r="BM46" s="25">
        <v>0</v>
      </c>
      <c r="BN46" s="25">
        <v>0.43</v>
      </c>
      <c r="BO46" s="25">
        <v>0</v>
      </c>
      <c r="BP46" s="25">
        <v>0.47</v>
      </c>
      <c r="BQ46" s="25">
        <v>0</v>
      </c>
      <c r="BR46" s="25">
        <v>0</v>
      </c>
      <c r="BS46" s="25">
        <v>0</v>
      </c>
      <c r="BT46" s="25">
        <v>0</v>
      </c>
      <c r="BU46" s="25">
        <v>0.59</v>
      </c>
      <c r="BV46" s="25">
        <v>0.34</v>
      </c>
      <c r="BW46" s="25">
        <v>0</v>
      </c>
      <c r="BX46" s="25">
        <v>0.31</v>
      </c>
      <c r="BY46" s="25">
        <v>0.55000000000000004</v>
      </c>
      <c r="BZ46" s="25">
        <v>0.35</v>
      </c>
      <c r="DO46" s="25">
        <v>0.7</v>
      </c>
      <c r="DP46" s="25">
        <v>0.36</v>
      </c>
      <c r="DS46" s="25">
        <v>0.83</v>
      </c>
    </row>
    <row r="47" spans="1:128" x14ac:dyDescent="0.25">
      <c r="A47" s="26" t="s">
        <v>479</v>
      </c>
      <c r="B47" s="26">
        <v>33</v>
      </c>
      <c r="C47" s="26">
        <v>2007</v>
      </c>
      <c r="D47" s="26" t="s">
        <v>477</v>
      </c>
      <c r="E47" s="26" t="s">
        <v>360</v>
      </c>
      <c r="F47" s="26" t="s">
        <v>478</v>
      </c>
      <c r="G47" s="26" t="s">
        <v>447</v>
      </c>
      <c r="H47" s="26">
        <v>1</v>
      </c>
      <c r="I47" s="26">
        <v>587</v>
      </c>
      <c r="J47" s="27">
        <f>347/587*100</f>
        <v>59.114139693356051</v>
      </c>
      <c r="K47" s="26">
        <v>20.2</v>
      </c>
      <c r="L47" s="26">
        <v>0</v>
      </c>
      <c r="M47" s="26">
        <v>5</v>
      </c>
      <c r="N47" s="26">
        <v>3</v>
      </c>
      <c r="O47" s="26">
        <v>1</v>
      </c>
      <c r="P47" s="26">
        <v>3</v>
      </c>
      <c r="Q47" s="26">
        <v>2</v>
      </c>
      <c r="R47" s="26"/>
      <c r="S47" s="26">
        <v>0.65</v>
      </c>
      <c r="T47" s="25">
        <v>0</v>
      </c>
      <c r="U47" s="26">
        <v>0.47</v>
      </c>
      <c r="V47" s="25">
        <v>0</v>
      </c>
      <c r="W47" s="25">
        <v>0</v>
      </c>
      <c r="X47" s="26">
        <v>0.64</v>
      </c>
      <c r="Y47" s="26">
        <v>0.67</v>
      </c>
      <c r="Z47" s="25">
        <v>0</v>
      </c>
      <c r="AA47" s="26">
        <v>0.76</v>
      </c>
      <c r="AB47" s="25">
        <v>0</v>
      </c>
      <c r="AC47" s="25">
        <v>0</v>
      </c>
      <c r="AD47" s="25">
        <v>0</v>
      </c>
      <c r="AE47" s="26">
        <v>0.73</v>
      </c>
      <c r="AF47" s="26">
        <v>0.68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6">
        <v>0.79</v>
      </c>
      <c r="AO47" s="25">
        <v>0</v>
      </c>
      <c r="AP47" s="26">
        <v>0.66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6">
        <v>0.64</v>
      </c>
      <c r="AX47" s="26">
        <v>0.45</v>
      </c>
      <c r="AY47" s="25">
        <v>0</v>
      </c>
      <c r="AZ47" s="25">
        <v>0</v>
      </c>
      <c r="BA47" s="25">
        <v>0</v>
      </c>
      <c r="BB47" s="25">
        <v>0</v>
      </c>
      <c r="BC47" s="26">
        <v>0.61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6">
        <v>0.33</v>
      </c>
      <c r="BL47" s="25">
        <v>0</v>
      </c>
      <c r="BM47" s="25">
        <v>0</v>
      </c>
      <c r="BN47" s="26">
        <v>0.41</v>
      </c>
      <c r="BO47" s="25">
        <v>0</v>
      </c>
      <c r="BP47" s="26">
        <v>0.64</v>
      </c>
      <c r="BQ47" s="25">
        <v>0</v>
      </c>
      <c r="BR47" s="25">
        <v>0</v>
      </c>
      <c r="BS47" s="25">
        <v>0</v>
      </c>
      <c r="BT47" s="25">
        <v>0</v>
      </c>
      <c r="BU47" s="26">
        <v>0.78</v>
      </c>
      <c r="BV47" s="26">
        <v>0.47</v>
      </c>
      <c r="BW47" s="25">
        <v>0</v>
      </c>
      <c r="BX47" s="26">
        <v>0.31</v>
      </c>
      <c r="BY47" s="26">
        <v>0.43</v>
      </c>
      <c r="BZ47" s="26">
        <v>0.42</v>
      </c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>
        <v>0.76</v>
      </c>
      <c r="DP47" s="26">
        <v>0.44</v>
      </c>
      <c r="DQ47" s="26"/>
      <c r="DR47" s="26"/>
      <c r="DS47" s="26">
        <v>0.55000000000000004</v>
      </c>
      <c r="DT47" s="26"/>
      <c r="DU47" s="26"/>
      <c r="DV47" s="26"/>
      <c r="DW47" s="26"/>
      <c r="DX47" s="26"/>
    </row>
    <row r="48" spans="1:128" x14ac:dyDescent="0.25">
      <c r="A48" s="25" t="s">
        <v>493</v>
      </c>
      <c r="B48" s="25">
        <v>34</v>
      </c>
      <c r="C48" s="25">
        <v>2007</v>
      </c>
      <c r="D48" s="25" t="s">
        <v>466</v>
      </c>
      <c r="E48" s="25" t="s">
        <v>466</v>
      </c>
      <c r="F48" s="25" t="s">
        <v>362</v>
      </c>
      <c r="G48" s="25" t="s">
        <v>463</v>
      </c>
      <c r="H48" s="25">
        <v>1</v>
      </c>
      <c r="I48" s="25">
        <v>355</v>
      </c>
      <c r="J48" s="28">
        <f>250/352*100</f>
        <v>71.022727272727266</v>
      </c>
      <c r="K48" s="25">
        <v>38.5</v>
      </c>
      <c r="L48" s="25">
        <v>0</v>
      </c>
      <c r="M48" s="25">
        <v>5</v>
      </c>
      <c r="N48" s="25">
        <v>5</v>
      </c>
      <c r="O48" s="25">
        <v>1</v>
      </c>
      <c r="P48" s="25">
        <v>3</v>
      </c>
      <c r="Q48" s="25">
        <v>1</v>
      </c>
      <c r="R48" s="25" t="s">
        <v>577</v>
      </c>
      <c r="S48" s="25">
        <v>0.6</v>
      </c>
      <c r="T48" s="25">
        <v>0.61</v>
      </c>
      <c r="U48" s="25">
        <v>0.28000000000000003</v>
      </c>
      <c r="V48" s="25">
        <v>0.6</v>
      </c>
      <c r="W48" s="25">
        <v>0.24</v>
      </c>
      <c r="X48" s="25">
        <v>0.57999999999999996</v>
      </c>
      <c r="Y48" s="25">
        <v>0.45</v>
      </c>
      <c r="Z48" s="25">
        <v>0.35</v>
      </c>
      <c r="AA48" s="25">
        <v>0.53</v>
      </c>
      <c r="AB48" s="25">
        <v>0.46</v>
      </c>
      <c r="AC48" s="25">
        <v>0.67</v>
      </c>
      <c r="AD48" s="25">
        <v>0.64</v>
      </c>
      <c r="AE48" s="25">
        <v>0.64</v>
      </c>
      <c r="AF48" s="25">
        <v>0.51</v>
      </c>
      <c r="AG48" s="25">
        <v>0.11</v>
      </c>
      <c r="AH48" s="25">
        <v>0.09</v>
      </c>
      <c r="AI48" s="25">
        <v>0.61</v>
      </c>
      <c r="AJ48" s="25">
        <v>0.33</v>
      </c>
      <c r="AK48" s="25">
        <v>0.44</v>
      </c>
      <c r="AL48" s="25">
        <v>0.3</v>
      </c>
      <c r="AM48" s="25">
        <v>0.35</v>
      </c>
      <c r="AN48" s="25">
        <v>0</v>
      </c>
      <c r="AO48" s="25">
        <v>0.39</v>
      </c>
      <c r="AP48" s="25">
        <v>0</v>
      </c>
      <c r="AQ48" s="25">
        <v>0</v>
      </c>
      <c r="AR48" s="25">
        <v>0.28999999999999998</v>
      </c>
      <c r="AS48" s="25">
        <v>0.46</v>
      </c>
      <c r="AT48" s="25">
        <v>0</v>
      </c>
      <c r="AU48" s="25">
        <v>0.5</v>
      </c>
      <c r="AV48" s="25">
        <v>0</v>
      </c>
      <c r="AW48" s="25">
        <v>0</v>
      </c>
      <c r="AX48" s="25">
        <v>0</v>
      </c>
      <c r="AY48" s="25">
        <v>0.41</v>
      </c>
      <c r="AZ48" s="25">
        <v>0.33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0.37</v>
      </c>
      <c r="BI48" s="25">
        <v>0</v>
      </c>
      <c r="BJ48" s="25">
        <v>0.74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-0.02</v>
      </c>
      <c r="BR48" s="25">
        <v>0.11</v>
      </c>
      <c r="BS48" s="25">
        <v>0</v>
      </c>
      <c r="BT48" s="25">
        <v>0</v>
      </c>
      <c r="BU48" s="25">
        <v>0</v>
      </c>
      <c r="BV48" s="25">
        <v>0</v>
      </c>
      <c r="BW48" s="25">
        <v>0.17</v>
      </c>
      <c r="BX48" s="25">
        <v>0</v>
      </c>
      <c r="BY48" s="25">
        <v>0</v>
      </c>
      <c r="BZ48" s="25">
        <v>0</v>
      </c>
      <c r="CA48" s="25">
        <v>0</v>
      </c>
      <c r="CB48" s="25">
        <v>0</v>
      </c>
      <c r="CC48" s="25">
        <v>0</v>
      </c>
      <c r="CD48" s="25">
        <v>0</v>
      </c>
      <c r="CE48" s="25">
        <v>0.2</v>
      </c>
      <c r="CF48" s="25">
        <v>0</v>
      </c>
      <c r="CG48" s="25">
        <v>0</v>
      </c>
      <c r="CH48" s="25">
        <v>0.28999999999999998</v>
      </c>
      <c r="CI48" s="25">
        <v>0</v>
      </c>
      <c r="CJ48" s="25">
        <v>0.13</v>
      </c>
      <c r="CK48" s="25">
        <v>0</v>
      </c>
      <c r="CL48" s="25">
        <v>0</v>
      </c>
      <c r="CM48" s="25">
        <v>0</v>
      </c>
      <c r="CN48" s="25">
        <v>0</v>
      </c>
      <c r="CO48" s="25">
        <v>0.22</v>
      </c>
      <c r="CP48" s="25">
        <v>0.43</v>
      </c>
      <c r="CQ48" s="25">
        <v>0</v>
      </c>
      <c r="CR48" s="25">
        <v>0.11</v>
      </c>
      <c r="CS48" s="25">
        <v>0.33</v>
      </c>
      <c r="CT48" s="25">
        <v>0.57999999999999996</v>
      </c>
      <c r="CU48" s="25">
        <v>0</v>
      </c>
      <c r="CV48" s="25">
        <v>0</v>
      </c>
      <c r="CW48" s="25">
        <v>0</v>
      </c>
      <c r="CX48" s="25">
        <v>0.03</v>
      </c>
      <c r="CY48" s="25">
        <v>0.04</v>
      </c>
      <c r="CZ48" s="25">
        <v>0</v>
      </c>
      <c r="DA48" s="25">
        <v>0</v>
      </c>
      <c r="DB48" s="25">
        <v>0</v>
      </c>
      <c r="DC48" s="25">
        <v>0</v>
      </c>
      <c r="DD48" s="25">
        <v>0.41</v>
      </c>
      <c r="DE48" s="25">
        <v>0</v>
      </c>
      <c r="DF48" s="25">
        <v>0</v>
      </c>
      <c r="DG48" s="25">
        <v>0</v>
      </c>
      <c r="DH48" s="25">
        <v>0</v>
      </c>
      <c r="DI48" s="25">
        <v>0</v>
      </c>
      <c r="DJ48" s="25">
        <v>0</v>
      </c>
      <c r="DK48" s="25">
        <v>0</v>
      </c>
      <c r="DL48" s="25">
        <v>0.47</v>
      </c>
      <c r="DM48" s="25">
        <v>0.63</v>
      </c>
      <c r="DN48" s="25">
        <v>0</v>
      </c>
      <c r="DO48" s="25">
        <v>0</v>
      </c>
      <c r="DP48" s="25">
        <v>0</v>
      </c>
      <c r="DQ48" s="25">
        <v>0</v>
      </c>
      <c r="DR48" s="25">
        <v>0</v>
      </c>
      <c r="DS48" s="25">
        <v>0</v>
      </c>
      <c r="DT48" s="25">
        <v>0</v>
      </c>
      <c r="DU48" s="25">
        <v>0</v>
      </c>
      <c r="DV48" s="25">
        <v>0</v>
      </c>
      <c r="DW48" s="25">
        <v>0</v>
      </c>
      <c r="DX48" s="25">
        <v>0</v>
      </c>
    </row>
    <row r="49" spans="1:128" x14ac:dyDescent="0.25">
      <c r="A49" s="25" t="s">
        <v>437</v>
      </c>
      <c r="B49" s="25">
        <v>35</v>
      </c>
      <c r="C49" s="25">
        <v>2007</v>
      </c>
      <c r="D49" s="25" t="s">
        <v>440</v>
      </c>
      <c r="E49" s="25" t="s">
        <v>360</v>
      </c>
      <c r="F49" s="25" t="s">
        <v>441</v>
      </c>
      <c r="G49" s="25" t="s">
        <v>442</v>
      </c>
      <c r="H49" s="25">
        <v>1</v>
      </c>
      <c r="I49" s="25">
        <v>1924</v>
      </c>
      <c r="J49" s="28">
        <f xml:space="preserve"> 1212/ (1212 + 712)*100</f>
        <v>62.993762993762992</v>
      </c>
      <c r="K49" s="29">
        <v>35.4</v>
      </c>
      <c r="L49" s="25">
        <v>1</v>
      </c>
      <c r="M49" s="25">
        <v>5</v>
      </c>
      <c r="N49" s="25">
        <v>5</v>
      </c>
      <c r="O49" s="25">
        <v>0</v>
      </c>
      <c r="P49" s="25">
        <v>1</v>
      </c>
      <c r="Q49" s="25">
        <v>2</v>
      </c>
      <c r="S49" s="25">
        <v>0.73</v>
      </c>
      <c r="T49" s="25">
        <v>0.21</v>
      </c>
      <c r="U49" s="25">
        <v>-0.17</v>
      </c>
      <c r="V49" s="25">
        <v>0.05</v>
      </c>
      <c r="W49" s="25">
        <v>0.09</v>
      </c>
      <c r="X49" s="25">
        <v>0.7</v>
      </c>
      <c r="Y49" s="25">
        <v>0.11</v>
      </c>
      <c r="Z49" s="25">
        <v>0.23</v>
      </c>
      <c r="AA49" s="25">
        <v>0.33</v>
      </c>
      <c r="AB49" s="25">
        <v>-0.02</v>
      </c>
      <c r="AC49" s="25">
        <v>7.0000000000000007E-2</v>
      </c>
      <c r="AD49" s="25">
        <v>0.11</v>
      </c>
      <c r="AE49" s="25">
        <v>0.34</v>
      </c>
      <c r="AF49" s="25">
        <v>0.72</v>
      </c>
      <c r="AG49" s="25">
        <v>0</v>
      </c>
      <c r="AH49" s="25">
        <v>-0.19</v>
      </c>
      <c r="AI49" s="25">
        <v>-0.09</v>
      </c>
      <c r="AJ49" s="25">
        <v>-0.11</v>
      </c>
      <c r="AK49" s="25">
        <v>-7.0000000000000007E-2</v>
      </c>
      <c r="AL49" s="25">
        <v>-7.0000000000000007E-2</v>
      </c>
      <c r="AM49" s="25">
        <v>-0.02</v>
      </c>
      <c r="AN49" s="25">
        <v>0.17</v>
      </c>
      <c r="AO49" s="25">
        <v>0.73</v>
      </c>
      <c r="AP49" s="25">
        <v>0.03</v>
      </c>
      <c r="AQ49" s="25">
        <v>-0.13</v>
      </c>
      <c r="AR49" s="25">
        <v>0.04</v>
      </c>
      <c r="AS49" s="25">
        <v>0.7</v>
      </c>
      <c r="AT49" s="25">
        <v>-0.02</v>
      </c>
      <c r="AU49" s="25">
        <v>0.36</v>
      </c>
      <c r="AV49" s="25">
        <v>0.05</v>
      </c>
      <c r="AW49" s="25">
        <v>0.05</v>
      </c>
      <c r="AX49" s="25">
        <v>-0.14000000000000001</v>
      </c>
      <c r="AY49" s="25">
        <v>0.45</v>
      </c>
      <c r="AZ49" s="25">
        <v>-0.11</v>
      </c>
      <c r="BA49" s="25">
        <v>-0.03</v>
      </c>
      <c r="BB49" s="25">
        <v>0.03</v>
      </c>
      <c r="BC49" s="25">
        <v>-0.03</v>
      </c>
      <c r="BD49" s="25">
        <v>-0.03</v>
      </c>
      <c r="BE49" s="25">
        <v>0.06</v>
      </c>
      <c r="BF49" s="25">
        <v>0.19</v>
      </c>
      <c r="BG49" s="25">
        <v>0.09</v>
      </c>
      <c r="BH49" s="25">
        <v>0.43</v>
      </c>
      <c r="BI49" s="25">
        <v>0.02</v>
      </c>
      <c r="BJ49" s="25">
        <v>0.51</v>
      </c>
      <c r="BK49" s="25">
        <v>-0.09</v>
      </c>
      <c r="BL49" s="25">
        <v>0.01</v>
      </c>
      <c r="BM49" s="25">
        <v>-0.12</v>
      </c>
      <c r="BN49" s="25">
        <v>-7.0000000000000007E-2</v>
      </c>
      <c r="BO49" s="25">
        <v>0.1</v>
      </c>
      <c r="BP49" s="25">
        <v>-0.06</v>
      </c>
      <c r="BQ49" s="25">
        <v>0.49</v>
      </c>
      <c r="BR49" s="25">
        <v>0.49</v>
      </c>
      <c r="BS49" s="25">
        <v>-0.04</v>
      </c>
      <c r="BT49" s="25">
        <v>0.01</v>
      </c>
      <c r="BU49" s="25">
        <v>0.17</v>
      </c>
      <c r="BV49" s="25">
        <v>0.08</v>
      </c>
      <c r="BW49" s="25">
        <v>0.52</v>
      </c>
      <c r="BX49" s="25">
        <v>0.23</v>
      </c>
      <c r="BY49" s="25">
        <v>0.04</v>
      </c>
      <c r="BZ49" s="25">
        <v>0.04</v>
      </c>
      <c r="CA49" s="25">
        <v>-0.04</v>
      </c>
      <c r="CB49" s="25">
        <v>0.04</v>
      </c>
      <c r="CC49" s="25">
        <v>0.08</v>
      </c>
      <c r="CD49" s="25">
        <v>0.19</v>
      </c>
      <c r="CE49" s="25">
        <v>0.39</v>
      </c>
      <c r="CF49" s="25">
        <v>-0.01</v>
      </c>
      <c r="CG49" s="25">
        <v>-0.08</v>
      </c>
      <c r="CH49" s="25">
        <v>0.24</v>
      </c>
      <c r="CI49" s="25">
        <v>-0.09</v>
      </c>
      <c r="CJ49" s="25">
        <v>0.53</v>
      </c>
      <c r="CK49" s="25">
        <v>-0.03</v>
      </c>
      <c r="CL49" s="25">
        <v>-0.04</v>
      </c>
      <c r="CM49" s="25">
        <v>0.05</v>
      </c>
      <c r="CN49" s="25">
        <v>-0.01</v>
      </c>
      <c r="CO49" s="25">
        <v>-7.0000000000000007E-2</v>
      </c>
      <c r="CP49" s="25">
        <v>-0.06</v>
      </c>
      <c r="CQ49" s="25">
        <v>-0.06</v>
      </c>
      <c r="CR49" s="25">
        <v>0.31</v>
      </c>
      <c r="CS49" s="25">
        <v>0.61</v>
      </c>
      <c r="CT49" s="25">
        <v>0.04</v>
      </c>
      <c r="CU49" s="25">
        <v>-0.08</v>
      </c>
      <c r="CV49" s="25">
        <v>-0.06</v>
      </c>
      <c r="CW49" s="25">
        <v>0.06</v>
      </c>
      <c r="CX49" s="25">
        <v>-0.15</v>
      </c>
      <c r="CY49" s="25">
        <v>0.15</v>
      </c>
      <c r="CZ49" s="25">
        <v>-0.09</v>
      </c>
      <c r="DA49" s="25">
        <v>0.01</v>
      </c>
      <c r="DB49" s="25">
        <v>0.37</v>
      </c>
      <c r="DC49" s="25">
        <v>0.03</v>
      </c>
      <c r="DD49" s="25">
        <v>-0.01</v>
      </c>
      <c r="DE49" s="25">
        <v>0.16</v>
      </c>
      <c r="DF49" s="25">
        <v>0.11</v>
      </c>
      <c r="DG49" s="25">
        <v>0.04</v>
      </c>
      <c r="DH49" s="25">
        <v>0.02</v>
      </c>
      <c r="DI49" s="25">
        <v>0.43</v>
      </c>
      <c r="DJ49" s="25">
        <v>0.38</v>
      </c>
      <c r="DK49" s="25">
        <v>0.13</v>
      </c>
      <c r="DL49" s="25">
        <v>-0.09</v>
      </c>
      <c r="DM49" s="25">
        <v>-0.04</v>
      </c>
      <c r="DN49" s="25">
        <v>0.35</v>
      </c>
      <c r="DO49" s="25">
        <v>0.71</v>
      </c>
      <c r="DP49" s="25">
        <v>0.65</v>
      </c>
      <c r="DQ49" s="25">
        <v>-0.05</v>
      </c>
      <c r="DR49" s="25">
        <v>0.17</v>
      </c>
      <c r="DS49" s="25">
        <v>0.53</v>
      </c>
      <c r="DT49" s="25">
        <v>-0.18</v>
      </c>
      <c r="DU49" s="25">
        <v>-0.04</v>
      </c>
      <c r="DV49" s="25">
        <v>-0.06</v>
      </c>
      <c r="DW49" s="25">
        <v>0.06</v>
      </c>
      <c r="DX49" s="25">
        <v>0.26</v>
      </c>
    </row>
    <row r="50" spans="1:128" x14ac:dyDescent="0.25">
      <c r="A50" s="25" t="s">
        <v>438</v>
      </c>
      <c r="B50" s="25">
        <v>35</v>
      </c>
      <c r="C50" s="25">
        <v>2007</v>
      </c>
      <c r="D50" s="25" t="s">
        <v>440</v>
      </c>
      <c r="E50" s="25" t="s">
        <v>360</v>
      </c>
      <c r="F50" s="25" t="s">
        <v>441</v>
      </c>
      <c r="G50" s="25" t="s">
        <v>439</v>
      </c>
      <c r="H50" s="25">
        <v>1</v>
      </c>
      <c r="I50" s="25">
        <v>2718</v>
      </c>
      <c r="J50" s="28">
        <f>1370/(1348 + 1370)*100</f>
        <v>50.404709345106689</v>
      </c>
      <c r="K50" s="29">
        <v>41.1</v>
      </c>
      <c r="L50" s="25">
        <v>0</v>
      </c>
      <c r="M50" s="25">
        <v>5</v>
      </c>
      <c r="N50" s="25">
        <v>5</v>
      </c>
      <c r="O50" s="25">
        <v>0</v>
      </c>
      <c r="P50" s="25">
        <v>1</v>
      </c>
      <c r="Q50" s="25">
        <v>2</v>
      </c>
      <c r="S50" s="25">
        <v>0.57999999999999996</v>
      </c>
      <c r="T50" s="25">
        <v>0.17</v>
      </c>
      <c r="U50" s="25">
        <v>0.55000000000000004</v>
      </c>
      <c r="V50" s="25">
        <v>0.03</v>
      </c>
      <c r="W50" s="25">
        <v>-0.19</v>
      </c>
      <c r="X50" s="25">
        <v>0.61</v>
      </c>
      <c r="Y50" s="25">
        <v>0.84</v>
      </c>
      <c r="Z50" s="25">
        <v>0.12</v>
      </c>
      <c r="AA50" s="25">
        <v>0.65</v>
      </c>
      <c r="AB50" s="25">
        <v>0.05</v>
      </c>
      <c r="AC50" s="25">
        <v>-0.03</v>
      </c>
      <c r="AD50" s="25">
        <v>-0.02</v>
      </c>
      <c r="AE50" s="25">
        <v>0.64</v>
      </c>
      <c r="AF50" s="25">
        <v>0.55000000000000004</v>
      </c>
      <c r="AG50" s="25">
        <v>0.12</v>
      </c>
      <c r="AH50" s="25">
        <v>-7.0000000000000007E-2</v>
      </c>
      <c r="AI50" s="25">
        <v>-0.04</v>
      </c>
      <c r="AJ50" s="25">
        <v>0.03</v>
      </c>
      <c r="AK50" s="25">
        <v>-0.04</v>
      </c>
      <c r="AL50" s="25">
        <v>0.06</v>
      </c>
      <c r="AM50" s="25">
        <v>0.18</v>
      </c>
      <c r="AN50" s="25">
        <v>0.56000000000000005</v>
      </c>
      <c r="AO50" s="25">
        <v>-0.03</v>
      </c>
      <c r="AP50" s="25">
        <v>0.57999999999999996</v>
      </c>
      <c r="AQ50" s="25">
        <v>0.05</v>
      </c>
      <c r="AR50" s="25">
        <v>0.01</v>
      </c>
      <c r="AS50" s="25">
        <v>-0.16</v>
      </c>
      <c r="AT50" s="25">
        <v>-0.04</v>
      </c>
      <c r="AU50" s="25">
        <v>0.04</v>
      </c>
      <c r="AV50" s="25">
        <v>0</v>
      </c>
      <c r="AW50" s="25">
        <v>0.56999999999999995</v>
      </c>
      <c r="AX50" s="25">
        <v>0.43</v>
      </c>
      <c r="AY50" s="25">
        <v>0.11</v>
      </c>
      <c r="AZ50" s="25">
        <v>0</v>
      </c>
      <c r="BA50" s="25">
        <v>0.02</v>
      </c>
      <c r="BB50" s="25">
        <v>0</v>
      </c>
      <c r="BC50" s="25">
        <v>0.31</v>
      </c>
      <c r="BD50" s="25">
        <v>-0.05</v>
      </c>
      <c r="BE50" s="25">
        <v>0.06</v>
      </c>
      <c r="BF50" s="25">
        <v>-0.09</v>
      </c>
      <c r="BG50" s="25">
        <v>0</v>
      </c>
      <c r="BH50" s="25">
        <v>-0.04</v>
      </c>
      <c r="BI50" s="25">
        <v>0.06</v>
      </c>
      <c r="BJ50" s="25">
        <v>0.18</v>
      </c>
      <c r="BK50" s="25">
        <v>0.12</v>
      </c>
      <c r="BL50" s="25">
        <v>-7.0000000000000007E-2</v>
      </c>
      <c r="BM50" s="25">
        <v>0.08</v>
      </c>
      <c r="BN50" s="25">
        <v>-0.05</v>
      </c>
      <c r="BO50" s="25">
        <v>-7.0000000000000007E-2</v>
      </c>
      <c r="BP50" s="25">
        <v>0.49</v>
      </c>
      <c r="BQ50" s="25">
        <v>-0.12</v>
      </c>
      <c r="BR50" s="25">
        <v>-0.04</v>
      </c>
      <c r="BS50" s="25">
        <v>0.05</v>
      </c>
      <c r="BT50" s="25">
        <v>-0.04</v>
      </c>
      <c r="BU50" s="25">
        <v>0.03</v>
      </c>
      <c r="BV50" s="25">
        <v>0.04</v>
      </c>
      <c r="BW50" s="25">
        <v>-0.02</v>
      </c>
      <c r="BX50" s="25">
        <v>0.47</v>
      </c>
      <c r="BY50" s="25">
        <v>0.7</v>
      </c>
      <c r="BZ50" s="25">
        <v>7.0000000000000007E-2</v>
      </c>
      <c r="CA50" s="25">
        <v>0.04</v>
      </c>
      <c r="CB50" s="25">
        <v>0.02</v>
      </c>
      <c r="CC50" s="25">
        <v>-0.16</v>
      </c>
      <c r="CD50" s="25">
        <v>-0.03</v>
      </c>
      <c r="CE50" s="25">
        <v>0.51</v>
      </c>
      <c r="CF50" s="25">
        <v>0.04</v>
      </c>
      <c r="CG50" s="25">
        <v>-0.1</v>
      </c>
      <c r="CH50" s="25">
        <v>0.59</v>
      </c>
      <c r="CI50" s="25">
        <v>0.05</v>
      </c>
      <c r="CJ50" s="25">
        <v>0.1</v>
      </c>
      <c r="CK50" s="25">
        <v>0.01</v>
      </c>
      <c r="CL50" s="25">
        <v>0.03</v>
      </c>
      <c r="CM50" s="25">
        <v>0.02</v>
      </c>
      <c r="CN50" s="25">
        <v>7.0000000000000007E-2</v>
      </c>
      <c r="CO50" s="25">
        <v>0.02</v>
      </c>
      <c r="CP50" s="25">
        <v>0.06</v>
      </c>
      <c r="CQ50" s="25">
        <v>-0.11</v>
      </c>
      <c r="CR50" s="25">
        <v>-0.04</v>
      </c>
      <c r="CS50" s="25">
        <v>0.01</v>
      </c>
      <c r="CT50" s="25">
        <v>0.2</v>
      </c>
      <c r="CU50" s="25">
        <v>-0.1</v>
      </c>
      <c r="CV50" s="25">
        <v>-0.1</v>
      </c>
      <c r="CW50" s="25">
        <v>0.03</v>
      </c>
      <c r="CX50" s="25">
        <v>-0.15</v>
      </c>
      <c r="CY50" s="25">
        <v>-0.03</v>
      </c>
      <c r="CZ50" s="25">
        <v>0</v>
      </c>
      <c r="DA50" s="25">
        <v>0.04</v>
      </c>
      <c r="DB50" s="25">
        <v>0.11</v>
      </c>
      <c r="DC50" s="25">
        <v>-0.04</v>
      </c>
      <c r="DD50" s="25">
        <v>-0.04</v>
      </c>
      <c r="DE50" s="25">
        <v>0.11</v>
      </c>
      <c r="DF50" s="25">
        <v>0.18</v>
      </c>
      <c r="DG50" s="25">
        <v>7.0000000000000007E-2</v>
      </c>
      <c r="DH50" s="25">
        <v>0</v>
      </c>
      <c r="DI50" s="25">
        <v>0.33</v>
      </c>
      <c r="DJ50" s="25">
        <v>0.31</v>
      </c>
      <c r="DK50" s="25">
        <v>0.33</v>
      </c>
      <c r="DL50" s="25">
        <v>0.01</v>
      </c>
      <c r="DM50" s="25">
        <v>0.1</v>
      </c>
      <c r="DN50" s="25">
        <v>0.25</v>
      </c>
      <c r="DO50" s="25">
        <v>0.61</v>
      </c>
      <c r="DP50" s="25">
        <v>-0.19</v>
      </c>
      <c r="DQ50" s="25">
        <v>0.25</v>
      </c>
      <c r="DR50" s="25">
        <v>0.21</v>
      </c>
      <c r="DS50" s="25">
        <v>-0.13</v>
      </c>
      <c r="DT50" s="25">
        <v>0.22</v>
      </c>
      <c r="DU50" s="25">
        <v>0.23</v>
      </c>
      <c r="DV50" s="25">
        <v>0.35</v>
      </c>
      <c r="DW50" s="25">
        <v>0</v>
      </c>
      <c r="DX50" s="25">
        <v>0.23</v>
      </c>
    </row>
    <row r="51" spans="1:128" x14ac:dyDescent="0.25">
      <c r="A51" s="25" t="s">
        <v>539</v>
      </c>
      <c r="B51" s="25">
        <v>36</v>
      </c>
      <c r="C51" s="25">
        <v>2007</v>
      </c>
      <c r="D51" s="25" t="s">
        <v>541</v>
      </c>
      <c r="E51" s="25" t="s">
        <v>360</v>
      </c>
      <c r="F51" s="25" t="s">
        <v>542</v>
      </c>
      <c r="G51" s="25" t="s">
        <v>543</v>
      </c>
      <c r="H51" s="25">
        <v>1</v>
      </c>
      <c r="I51" s="25">
        <v>194</v>
      </c>
      <c r="J51" s="28">
        <v>53.6</v>
      </c>
      <c r="K51" s="29">
        <v>30.34</v>
      </c>
      <c r="L51" s="25">
        <v>1</v>
      </c>
      <c r="M51" s="25">
        <v>5</v>
      </c>
      <c r="N51" s="25">
        <v>3</v>
      </c>
      <c r="O51" s="25">
        <v>1</v>
      </c>
      <c r="P51" s="25">
        <v>3</v>
      </c>
      <c r="Q51" s="25">
        <v>2</v>
      </c>
      <c r="R51" s="25" t="s">
        <v>544</v>
      </c>
      <c r="S51" s="25">
        <v>0.69199999999999995</v>
      </c>
      <c r="T51" s="25">
        <v>0</v>
      </c>
      <c r="U51" s="25">
        <v>0.56499999999999995</v>
      </c>
      <c r="V51" s="25">
        <v>0</v>
      </c>
      <c r="W51" s="25">
        <v>0</v>
      </c>
      <c r="X51" s="25">
        <v>0.64400000000000002</v>
      </c>
      <c r="Y51" s="25">
        <v>0.63200000000000001</v>
      </c>
      <c r="Z51" s="25">
        <v>0</v>
      </c>
      <c r="AA51" s="25">
        <v>0.68600000000000005</v>
      </c>
      <c r="AB51" s="25">
        <v>0</v>
      </c>
      <c r="AC51" s="25">
        <v>0</v>
      </c>
      <c r="AD51" s="25">
        <v>0</v>
      </c>
      <c r="AE51" s="25">
        <v>0.54100000000000004</v>
      </c>
      <c r="AF51" s="25">
        <v>0.55500000000000005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0.55100000000000005</v>
      </c>
      <c r="AO51" s="25">
        <v>0</v>
      </c>
      <c r="AP51" s="25">
        <v>0.30599999999999999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0.61799999999999999</v>
      </c>
      <c r="AX51" s="25">
        <v>0.29899999999999999</v>
      </c>
      <c r="AY51" s="25">
        <v>0</v>
      </c>
      <c r="AZ51" s="25">
        <v>0</v>
      </c>
      <c r="BA51" s="25">
        <v>0</v>
      </c>
      <c r="BB51" s="25">
        <v>0</v>
      </c>
      <c r="BC51" s="25">
        <v>0.63300000000000001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0.21099999999999999</v>
      </c>
      <c r="BL51" s="25">
        <v>0</v>
      </c>
      <c r="BM51" s="25">
        <v>0</v>
      </c>
      <c r="BN51" s="25">
        <v>0.60399999999999998</v>
      </c>
      <c r="BO51" s="25">
        <v>0</v>
      </c>
      <c r="BP51" s="25">
        <v>0.26700000000000002</v>
      </c>
      <c r="BQ51" s="25">
        <v>0</v>
      </c>
      <c r="BR51" s="25">
        <v>0</v>
      </c>
      <c r="BS51" s="25">
        <v>0</v>
      </c>
      <c r="BT51" s="25">
        <v>0</v>
      </c>
      <c r="BU51" s="25">
        <v>0.498</v>
      </c>
      <c r="BV51" s="25">
        <v>0.43</v>
      </c>
      <c r="BW51" s="25">
        <v>0</v>
      </c>
      <c r="BX51" s="25">
        <v>0.46600000000000003</v>
      </c>
      <c r="BY51" s="25">
        <v>0.24099999999999999</v>
      </c>
      <c r="BZ51" s="25">
        <v>0.35199999999999998</v>
      </c>
      <c r="DO51" s="25">
        <v>0.74</v>
      </c>
      <c r="DP51" s="25">
        <v>0.31</v>
      </c>
      <c r="DS51" s="25">
        <v>0.37</v>
      </c>
    </row>
    <row r="52" spans="1:128" x14ac:dyDescent="0.25">
      <c r="A52" s="25" t="s">
        <v>540</v>
      </c>
      <c r="B52" s="25">
        <v>36</v>
      </c>
      <c r="C52" s="25">
        <v>2007</v>
      </c>
      <c r="D52" s="25" t="s">
        <v>541</v>
      </c>
      <c r="E52" s="25" t="s">
        <v>360</v>
      </c>
      <c r="F52" s="25" t="s">
        <v>542</v>
      </c>
      <c r="G52" s="25" t="s">
        <v>447</v>
      </c>
      <c r="H52" s="25">
        <v>1</v>
      </c>
      <c r="I52" s="25">
        <v>939</v>
      </c>
      <c r="J52" s="28">
        <v>60.1</v>
      </c>
      <c r="K52" s="25">
        <v>18.8</v>
      </c>
      <c r="L52" s="25">
        <v>0</v>
      </c>
      <c r="M52" s="25">
        <v>5</v>
      </c>
      <c r="N52" s="25">
        <v>3</v>
      </c>
      <c r="O52" s="25">
        <v>1</v>
      </c>
      <c r="P52" s="25">
        <v>3</v>
      </c>
      <c r="Q52" s="25">
        <v>2</v>
      </c>
      <c r="S52" s="25">
        <v>0.64</v>
      </c>
      <c r="T52" s="25">
        <v>0</v>
      </c>
      <c r="U52" s="25">
        <v>0.57099999999999995</v>
      </c>
      <c r="V52" s="25">
        <v>0</v>
      </c>
      <c r="W52" s="25">
        <v>0</v>
      </c>
      <c r="X52" s="25">
        <v>0.52200000000000002</v>
      </c>
      <c r="Y52" s="25">
        <v>0.53200000000000003</v>
      </c>
      <c r="Z52" s="25">
        <v>0</v>
      </c>
      <c r="AA52" s="25">
        <v>0.63500000000000001</v>
      </c>
      <c r="AB52" s="25">
        <v>0</v>
      </c>
      <c r="AC52" s="25">
        <v>0</v>
      </c>
      <c r="AD52" s="25">
        <v>0</v>
      </c>
      <c r="AE52" s="25">
        <v>0.57899999999999996</v>
      </c>
      <c r="AF52" s="25">
        <v>0.51400000000000001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0.61299999999999999</v>
      </c>
      <c r="AO52" s="25">
        <v>0</v>
      </c>
      <c r="AP52" s="25">
        <v>0.55100000000000005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0.57399999999999995</v>
      </c>
      <c r="AX52" s="25">
        <v>0.224</v>
      </c>
      <c r="AY52" s="25">
        <v>0</v>
      </c>
      <c r="AZ52" s="25">
        <v>0</v>
      </c>
      <c r="BA52" s="25">
        <v>0</v>
      </c>
      <c r="BB52" s="25">
        <v>0</v>
      </c>
      <c r="BC52" s="25">
        <v>0.433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0.39400000000000002</v>
      </c>
      <c r="BL52" s="25">
        <v>0</v>
      </c>
      <c r="BM52" s="25">
        <v>0</v>
      </c>
      <c r="BN52" s="25">
        <v>0.505</v>
      </c>
      <c r="BO52" s="25">
        <v>0</v>
      </c>
      <c r="BP52" s="25">
        <v>0.187</v>
      </c>
      <c r="BQ52" s="25">
        <v>0</v>
      </c>
      <c r="BR52" s="25">
        <v>0</v>
      </c>
      <c r="BS52" s="25">
        <v>0</v>
      </c>
      <c r="BT52" s="25">
        <v>0</v>
      </c>
      <c r="BU52" s="25">
        <v>0.21</v>
      </c>
      <c r="BV52" s="25">
        <v>0.16200000000000001</v>
      </c>
      <c r="BW52" s="25">
        <v>0</v>
      </c>
      <c r="BX52" s="25">
        <v>0.41699999999999998</v>
      </c>
      <c r="BY52" s="25">
        <v>0.42899999999999999</v>
      </c>
      <c r="BZ52" s="25">
        <v>0.24</v>
      </c>
      <c r="DO52" s="25">
        <v>0.6</v>
      </c>
      <c r="DP52" s="25">
        <v>0.25</v>
      </c>
      <c r="DS52" s="25">
        <v>0.26</v>
      </c>
    </row>
    <row r="53" spans="1:128" x14ac:dyDescent="0.25">
      <c r="A53" s="25" t="s">
        <v>480</v>
      </c>
      <c r="B53" s="25">
        <v>37</v>
      </c>
      <c r="C53" s="25">
        <v>2008</v>
      </c>
      <c r="D53" s="25" t="s">
        <v>477</v>
      </c>
      <c r="E53" s="25" t="s">
        <v>360</v>
      </c>
      <c r="F53" s="25" t="s">
        <v>478</v>
      </c>
      <c r="G53" s="25" t="s">
        <v>482</v>
      </c>
      <c r="H53" s="25">
        <v>1</v>
      </c>
      <c r="I53" s="25">
        <v>175</v>
      </c>
      <c r="J53" s="28">
        <f>102/175*100</f>
        <v>58.285714285714285</v>
      </c>
      <c r="K53" s="25">
        <v>33.4</v>
      </c>
      <c r="L53" s="25">
        <v>1</v>
      </c>
      <c r="M53" s="25">
        <v>5</v>
      </c>
      <c r="N53" s="25">
        <v>3</v>
      </c>
      <c r="O53" s="25">
        <v>1</v>
      </c>
      <c r="P53" s="25">
        <v>3</v>
      </c>
      <c r="Q53" s="25">
        <v>2</v>
      </c>
      <c r="S53" s="25">
        <v>0.65</v>
      </c>
      <c r="T53" s="25">
        <v>0</v>
      </c>
      <c r="U53" s="25">
        <v>0.56999999999999995</v>
      </c>
      <c r="V53" s="25">
        <v>0</v>
      </c>
      <c r="W53" s="25">
        <v>0</v>
      </c>
      <c r="X53" s="25">
        <v>0.66</v>
      </c>
      <c r="Y53" s="25">
        <v>0.67</v>
      </c>
      <c r="Z53" s="25">
        <v>0</v>
      </c>
      <c r="AA53" s="25">
        <v>0.78</v>
      </c>
      <c r="AB53" s="25">
        <v>0</v>
      </c>
      <c r="AC53" s="25">
        <v>0</v>
      </c>
      <c r="AD53" s="25">
        <v>0</v>
      </c>
      <c r="AE53" s="25">
        <v>0.73</v>
      </c>
      <c r="AF53" s="25">
        <v>0.6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0.78</v>
      </c>
      <c r="AO53" s="25">
        <v>0</v>
      </c>
      <c r="AP53" s="25">
        <v>0.43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0.55000000000000004</v>
      </c>
      <c r="AX53" s="25">
        <v>0.41</v>
      </c>
      <c r="AY53" s="25">
        <v>0</v>
      </c>
      <c r="AZ53" s="25">
        <v>0</v>
      </c>
      <c r="BA53" s="25">
        <v>0</v>
      </c>
      <c r="BB53" s="25">
        <v>0</v>
      </c>
      <c r="BC53" s="25">
        <v>0.65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0.28999999999999998</v>
      </c>
      <c r="BL53" s="25">
        <v>0</v>
      </c>
      <c r="BM53" s="25">
        <v>0</v>
      </c>
      <c r="BN53" s="25">
        <v>0.61</v>
      </c>
      <c r="BO53" s="25">
        <v>0</v>
      </c>
      <c r="BP53" s="25">
        <v>0.44</v>
      </c>
      <c r="BQ53" s="25">
        <v>0</v>
      </c>
      <c r="BR53" s="25">
        <v>0</v>
      </c>
      <c r="BS53" s="25">
        <v>0</v>
      </c>
      <c r="BT53" s="25">
        <v>0</v>
      </c>
      <c r="BU53" s="25">
        <v>0.42</v>
      </c>
      <c r="BV53" s="25">
        <v>0.28000000000000003</v>
      </c>
      <c r="BW53" s="25">
        <v>0</v>
      </c>
      <c r="BX53" s="25">
        <v>0.47</v>
      </c>
      <c r="BY53" s="25">
        <v>0.5</v>
      </c>
      <c r="BZ53" s="25">
        <v>0.27</v>
      </c>
      <c r="DO53" s="25">
        <v>0.72</v>
      </c>
      <c r="DP53" s="25">
        <v>0.47</v>
      </c>
      <c r="DS53" s="25">
        <v>0.62</v>
      </c>
    </row>
    <row r="54" spans="1:128" x14ac:dyDescent="0.25">
      <c r="A54" s="25" t="s">
        <v>481</v>
      </c>
      <c r="B54" s="25">
        <v>37</v>
      </c>
      <c r="C54" s="25">
        <v>2008</v>
      </c>
      <c r="D54" s="25" t="s">
        <v>477</v>
      </c>
      <c r="E54" s="25" t="s">
        <v>360</v>
      </c>
      <c r="F54" s="25" t="s">
        <v>478</v>
      </c>
      <c r="G54" s="25" t="s">
        <v>463</v>
      </c>
      <c r="H54" s="25">
        <v>1</v>
      </c>
      <c r="I54" s="25">
        <v>173</v>
      </c>
      <c r="J54" s="28">
        <f>99/173*100</f>
        <v>57.225433526011557</v>
      </c>
      <c r="K54" s="25">
        <v>34.299999999999997</v>
      </c>
      <c r="L54" s="25">
        <v>0</v>
      </c>
      <c r="M54" s="25">
        <v>5</v>
      </c>
      <c r="N54" s="25">
        <v>3</v>
      </c>
      <c r="O54" s="25">
        <v>1</v>
      </c>
      <c r="P54" s="25">
        <v>3</v>
      </c>
      <c r="Q54" s="25">
        <v>2</v>
      </c>
      <c r="S54" s="25">
        <v>0.63</v>
      </c>
      <c r="T54" s="25">
        <v>0</v>
      </c>
      <c r="U54" s="25">
        <v>0.44</v>
      </c>
      <c r="V54" s="25">
        <v>0</v>
      </c>
      <c r="W54" s="25">
        <v>0</v>
      </c>
      <c r="X54" s="25">
        <v>0.67</v>
      </c>
      <c r="Y54" s="25">
        <v>0.69</v>
      </c>
      <c r="Z54" s="25">
        <v>0</v>
      </c>
      <c r="AA54" s="25">
        <v>0.77</v>
      </c>
      <c r="AB54" s="25">
        <v>0</v>
      </c>
      <c r="AC54" s="25">
        <v>0</v>
      </c>
      <c r="AD54" s="25">
        <v>0</v>
      </c>
      <c r="AE54" s="25">
        <v>0.71</v>
      </c>
      <c r="AF54" s="25">
        <v>0.66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0.77</v>
      </c>
      <c r="AO54" s="25">
        <v>0</v>
      </c>
      <c r="AP54" s="25">
        <v>0.63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0.61</v>
      </c>
      <c r="AX54" s="25">
        <v>0.47</v>
      </c>
      <c r="AY54" s="25">
        <v>0</v>
      </c>
      <c r="AZ54" s="25">
        <v>0</v>
      </c>
      <c r="BA54" s="25">
        <v>0</v>
      </c>
      <c r="BB54" s="25">
        <v>0</v>
      </c>
      <c r="BC54" s="25">
        <v>0.62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0.31</v>
      </c>
      <c r="BL54" s="25">
        <v>0</v>
      </c>
      <c r="BM54" s="25">
        <v>0</v>
      </c>
      <c r="BN54" s="25">
        <v>0.43</v>
      </c>
      <c r="BO54" s="25">
        <v>0</v>
      </c>
      <c r="BP54" s="25">
        <v>0.66</v>
      </c>
      <c r="BQ54" s="25">
        <v>0</v>
      </c>
      <c r="BR54" s="25">
        <v>0</v>
      </c>
      <c r="BS54" s="25">
        <v>0</v>
      </c>
      <c r="BT54" s="25">
        <v>0</v>
      </c>
      <c r="BU54" s="25">
        <v>0.79</v>
      </c>
      <c r="BV54" s="25">
        <v>0.49</v>
      </c>
      <c r="BW54" s="25">
        <v>0</v>
      </c>
      <c r="BX54" s="25">
        <v>0.3</v>
      </c>
      <c r="BY54" s="25">
        <v>0.42</v>
      </c>
      <c r="BZ54" s="25">
        <v>0.44</v>
      </c>
      <c r="DO54" s="25">
        <v>0.77</v>
      </c>
      <c r="DP54" s="25">
        <v>0.45</v>
      </c>
      <c r="DS54" s="25">
        <v>0.57999999999999996</v>
      </c>
    </row>
    <row r="55" spans="1:128" x14ac:dyDescent="0.25">
      <c r="A55" s="25" t="s">
        <v>484</v>
      </c>
      <c r="B55" s="25">
        <v>38</v>
      </c>
      <c r="C55" s="25">
        <v>2008</v>
      </c>
      <c r="D55" s="25" t="s">
        <v>477</v>
      </c>
      <c r="E55" s="25" t="s">
        <v>360</v>
      </c>
      <c r="F55" s="25" t="s">
        <v>478</v>
      </c>
      <c r="G55" s="25" t="s">
        <v>483</v>
      </c>
      <c r="H55" s="25">
        <v>1</v>
      </c>
      <c r="I55" s="25">
        <f>187+134</f>
        <v>321</v>
      </c>
      <c r="J55" s="28">
        <f>134/(187+134)*100</f>
        <v>41.744548286604363</v>
      </c>
      <c r="K55" s="25">
        <v>35.5</v>
      </c>
      <c r="L55" s="25">
        <v>1</v>
      </c>
      <c r="M55" s="25">
        <v>5</v>
      </c>
      <c r="N55" s="25">
        <v>3</v>
      </c>
      <c r="O55" s="25">
        <v>1</v>
      </c>
      <c r="P55" s="25">
        <v>3</v>
      </c>
      <c r="Q55" s="25">
        <v>2</v>
      </c>
      <c r="S55" s="25">
        <v>0.63</v>
      </c>
      <c r="T55" s="25">
        <v>0</v>
      </c>
      <c r="U55" s="25">
        <v>0.52</v>
      </c>
      <c r="V55" s="25">
        <v>0</v>
      </c>
      <c r="W55" s="25">
        <v>0</v>
      </c>
      <c r="X55" s="25">
        <v>0.64</v>
      </c>
      <c r="Y55" s="25">
        <v>0.6</v>
      </c>
      <c r="Z55" s="25">
        <v>0</v>
      </c>
      <c r="AA55" s="25">
        <v>0.76</v>
      </c>
      <c r="AB55" s="25">
        <v>0</v>
      </c>
      <c r="AC55" s="25">
        <v>0</v>
      </c>
      <c r="AD55" s="25">
        <v>0</v>
      </c>
      <c r="AE55" s="25">
        <v>0.71</v>
      </c>
      <c r="AF55" s="25">
        <v>0.62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0.75</v>
      </c>
      <c r="AO55" s="25">
        <v>0</v>
      </c>
      <c r="AP55" s="25">
        <v>0.62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0.59</v>
      </c>
      <c r="AX55" s="25">
        <v>0.48</v>
      </c>
      <c r="AY55" s="25">
        <v>0</v>
      </c>
      <c r="AZ55" s="25">
        <v>0</v>
      </c>
      <c r="BA55" s="25">
        <v>0</v>
      </c>
      <c r="BB55" s="25">
        <v>0</v>
      </c>
      <c r="BC55" s="25">
        <v>0.64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0.38</v>
      </c>
      <c r="BL55" s="25">
        <v>0</v>
      </c>
      <c r="BM55" s="25">
        <v>0</v>
      </c>
      <c r="BN55" s="25">
        <v>0.64</v>
      </c>
      <c r="BO55" s="25">
        <v>0</v>
      </c>
      <c r="BP55" s="25">
        <v>0.68</v>
      </c>
      <c r="BQ55" s="25">
        <v>0</v>
      </c>
      <c r="BR55" s="25">
        <v>0</v>
      </c>
      <c r="BS55" s="25">
        <v>0</v>
      </c>
      <c r="BT55" s="25">
        <v>0</v>
      </c>
      <c r="BU55" s="25">
        <v>0.72</v>
      </c>
      <c r="BV55" s="25">
        <v>0.35</v>
      </c>
      <c r="BW55" s="25">
        <v>0</v>
      </c>
      <c r="BX55" s="25">
        <v>0.56999999999999995</v>
      </c>
      <c r="BY55" s="25">
        <v>0.65</v>
      </c>
      <c r="BZ55" s="25">
        <v>0.32</v>
      </c>
      <c r="DO55" s="25">
        <v>0.74</v>
      </c>
      <c r="DP55" s="25">
        <v>0.47</v>
      </c>
      <c r="DS55" s="25">
        <v>0.59</v>
      </c>
    </row>
    <row r="56" spans="1:128" x14ac:dyDescent="0.25">
      <c r="A56" s="25" t="s">
        <v>460</v>
      </c>
      <c r="B56" s="25">
        <v>39</v>
      </c>
      <c r="C56" s="25">
        <v>2008</v>
      </c>
      <c r="D56" s="25" t="s">
        <v>465</v>
      </c>
      <c r="E56" s="25" t="s">
        <v>373</v>
      </c>
      <c r="F56" s="25" t="s">
        <v>462</v>
      </c>
      <c r="G56" s="25" t="s">
        <v>464</v>
      </c>
      <c r="H56" s="25">
        <v>1</v>
      </c>
      <c r="I56" s="25">
        <v>404</v>
      </c>
      <c r="J56" s="28">
        <v>70</v>
      </c>
      <c r="K56" s="25">
        <v>38.4</v>
      </c>
      <c r="L56" s="25">
        <v>1</v>
      </c>
      <c r="M56" s="25">
        <v>5</v>
      </c>
      <c r="N56" s="25">
        <v>4</v>
      </c>
      <c r="O56" s="25">
        <v>1</v>
      </c>
      <c r="P56" s="25">
        <v>3</v>
      </c>
      <c r="Q56" s="25">
        <v>2</v>
      </c>
      <c r="S56" s="25">
        <v>0.63</v>
      </c>
      <c r="T56" s="25">
        <v>0</v>
      </c>
      <c r="U56" s="25">
        <v>0.51</v>
      </c>
      <c r="V56" s="25">
        <v>0</v>
      </c>
      <c r="W56" s="25">
        <v>0</v>
      </c>
      <c r="X56" s="25">
        <v>0.56999999999999995</v>
      </c>
      <c r="Y56" s="25">
        <v>0.65</v>
      </c>
      <c r="Z56" s="25">
        <v>0</v>
      </c>
      <c r="AA56" s="25">
        <v>0.74</v>
      </c>
      <c r="AB56" s="25">
        <v>0</v>
      </c>
      <c r="AC56" s="25">
        <v>0</v>
      </c>
      <c r="AD56" s="25">
        <v>0</v>
      </c>
      <c r="AE56" s="25">
        <v>0.68</v>
      </c>
      <c r="AF56" s="25">
        <v>0.61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0.79</v>
      </c>
      <c r="AO56" s="25">
        <v>0</v>
      </c>
      <c r="AP56" s="25">
        <v>0.68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0.55000000000000004</v>
      </c>
      <c r="AX56" s="25">
        <v>0.56999999999999995</v>
      </c>
      <c r="AY56" s="25">
        <v>0</v>
      </c>
      <c r="AZ56" s="25">
        <v>0</v>
      </c>
      <c r="BA56" s="25">
        <v>0</v>
      </c>
      <c r="BB56" s="25">
        <v>0</v>
      </c>
      <c r="BC56" s="25">
        <v>0.62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0.63</v>
      </c>
      <c r="BL56" s="25">
        <v>0</v>
      </c>
      <c r="BM56" s="25">
        <v>0</v>
      </c>
      <c r="BN56" s="25">
        <v>0.33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0.15</v>
      </c>
      <c r="CA56" s="25">
        <v>0</v>
      </c>
      <c r="CB56" s="25">
        <v>0</v>
      </c>
      <c r="CC56" s="25">
        <v>0</v>
      </c>
      <c r="CD56" s="25">
        <v>0</v>
      </c>
      <c r="CE56" s="25">
        <v>0</v>
      </c>
      <c r="CF56" s="25">
        <v>0</v>
      </c>
      <c r="CG56" s="25">
        <v>0</v>
      </c>
      <c r="CH56" s="25">
        <v>0</v>
      </c>
      <c r="CI56" s="25">
        <v>0</v>
      </c>
      <c r="CJ56" s="25">
        <v>0.43</v>
      </c>
      <c r="CK56" s="25">
        <v>0</v>
      </c>
      <c r="CL56" s="25">
        <v>0</v>
      </c>
      <c r="CM56" s="25">
        <v>0</v>
      </c>
      <c r="CN56" s="25">
        <v>0</v>
      </c>
      <c r="CO56" s="25">
        <v>0.61</v>
      </c>
      <c r="CP56" s="25">
        <v>0.46</v>
      </c>
      <c r="CQ56" s="25">
        <v>0</v>
      </c>
      <c r="CR56" s="25">
        <v>0.23</v>
      </c>
      <c r="CS56" s="25">
        <v>0.28000000000000003</v>
      </c>
      <c r="CT56" s="25">
        <v>0</v>
      </c>
      <c r="DO56" s="25">
        <v>0.67</v>
      </c>
      <c r="DP56" s="25">
        <v>0.05</v>
      </c>
      <c r="DQ56" s="25">
        <v>0.14000000000000001</v>
      </c>
      <c r="DS56" s="25">
        <v>0.3</v>
      </c>
      <c r="DT56" s="25">
        <v>0.3</v>
      </c>
      <c r="DV56" s="25">
        <v>0.79</v>
      </c>
    </row>
    <row r="57" spans="1:128" x14ac:dyDescent="0.25">
      <c r="A57" s="25" t="s">
        <v>461</v>
      </c>
      <c r="B57" s="25">
        <v>39</v>
      </c>
      <c r="C57" s="25">
        <v>2008</v>
      </c>
      <c r="D57" s="25" t="s">
        <v>465</v>
      </c>
      <c r="E57" s="25" t="s">
        <v>373</v>
      </c>
      <c r="F57" s="25" t="s">
        <v>462</v>
      </c>
      <c r="G57" s="25" t="s">
        <v>364</v>
      </c>
      <c r="H57" s="25">
        <v>1</v>
      </c>
      <c r="I57" s="25">
        <v>157</v>
      </c>
      <c r="J57" s="28">
        <v>84.7</v>
      </c>
      <c r="K57" s="29">
        <v>20.73</v>
      </c>
      <c r="L57" s="25">
        <v>0</v>
      </c>
      <c r="M57" s="25">
        <v>5</v>
      </c>
      <c r="N57" s="25">
        <v>4</v>
      </c>
      <c r="O57" s="25">
        <v>1</v>
      </c>
      <c r="P57" s="25">
        <v>3</v>
      </c>
      <c r="Q57" s="25">
        <v>2</v>
      </c>
      <c r="S57" s="25">
        <v>0.66</v>
      </c>
      <c r="T57" s="25">
        <v>0</v>
      </c>
      <c r="U57" s="25">
        <v>0.43</v>
      </c>
      <c r="V57" s="25">
        <v>0</v>
      </c>
      <c r="W57" s="25">
        <v>0</v>
      </c>
      <c r="X57" s="25">
        <v>0.56999999999999995</v>
      </c>
      <c r="Y57" s="25">
        <v>0.56000000000000005</v>
      </c>
      <c r="Z57" s="25">
        <v>0</v>
      </c>
      <c r="AA57" s="25">
        <v>0.75</v>
      </c>
      <c r="AB57" s="25">
        <v>0</v>
      </c>
      <c r="AC57" s="25">
        <v>0</v>
      </c>
      <c r="AD57" s="25">
        <v>0</v>
      </c>
      <c r="AE57" s="25">
        <v>0.68</v>
      </c>
      <c r="AF57" s="25">
        <v>0.65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0.84</v>
      </c>
      <c r="AO57" s="25">
        <v>0</v>
      </c>
      <c r="AP57" s="25">
        <v>0.84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0.32</v>
      </c>
      <c r="AX57" s="25">
        <v>0.37</v>
      </c>
      <c r="AY57" s="25">
        <v>0</v>
      </c>
      <c r="AZ57" s="25">
        <v>0</v>
      </c>
      <c r="BA57" s="25">
        <v>0</v>
      </c>
      <c r="BB57" s="25">
        <v>0</v>
      </c>
      <c r="BC57" s="25">
        <v>0.4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0.45</v>
      </c>
      <c r="BL57" s="25">
        <v>0</v>
      </c>
      <c r="BM57" s="25">
        <v>0</v>
      </c>
      <c r="BN57" s="25">
        <v>0.54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0.28999999999999998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0.35</v>
      </c>
      <c r="CK57" s="25">
        <v>0</v>
      </c>
      <c r="CL57" s="25">
        <v>0</v>
      </c>
      <c r="CM57" s="25">
        <v>0</v>
      </c>
      <c r="CN57" s="25">
        <v>0</v>
      </c>
      <c r="CO57" s="25">
        <v>0.25</v>
      </c>
      <c r="CP57" s="25">
        <v>0.24</v>
      </c>
      <c r="CQ57" s="25">
        <v>0</v>
      </c>
      <c r="CR57" s="25">
        <v>0.14000000000000001</v>
      </c>
      <c r="CS57" s="25">
        <v>0.68</v>
      </c>
      <c r="CT57" s="25">
        <v>0</v>
      </c>
      <c r="DO57" s="25">
        <v>0.66</v>
      </c>
      <c r="DP57" s="25">
        <v>0.11</v>
      </c>
      <c r="DQ57" s="25">
        <v>0.08</v>
      </c>
      <c r="DS57" s="25">
        <v>0.27</v>
      </c>
      <c r="DT57" s="25">
        <v>0.28000000000000003</v>
      </c>
      <c r="DV57" s="25">
        <v>0.98</v>
      </c>
    </row>
    <row r="58" spans="1:128" x14ac:dyDescent="0.25">
      <c r="A58" s="25" t="s">
        <v>431</v>
      </c>
      <c r="B58" s="25">
        <v>40</v>
      </c>
      <c r="C58" s="25">
        <v>2008</v>
      </c>
      <c r="D58" s="25" t="s">
        <v>8</v>
      </c>
      <c r="E58" s="25" t="s">
        <v>373</v>
      </c>
      <c r="F58" s="25" t="s">
        <v>11</v>
      </c>
      <c r="G58" s="25" t="s">
        <v>432</v>
      </c>
      <c r="H58" s="25">
        <v>1</v>
      </c>
      <c r="I58" s="25">
        <v>1859</v>
      </c>
      <c r="J58" s="28">
        <f xml:space="preserve"> 971/(971+888)*100</f>
        <v>52.232383001613769</v>
      </c>
      <c r="K58" s="25">
        <v>46.7</v>
      </c>
      <c r="L58" s="25">
        <v>0</v>
      </c>
      <c r="M58" s="25">
        <v>5</v>
      </c>
      <c r="N58" s="25">
        <v>3</v>
      </c>
      <c r="O58" s="25">
        <v>0</v>
      </c>
      <c r="P58" s="25">
        <v>1</v>
      </c>
      <c r="Q58" s="25">
        <v>1</v>
      </c>
      <c r="S58" s="25">
        <v>0.67200000000000004</v>
      </c>
      <c r="T58" s="25">
        <v>0.52959999999999996</v>
      </c>
      <c r="U58" s="25">
        <v>0.69579999999999997</v>
      </c>
      <c r="V58" s="25">
        <v>6.5000000000000002E-2</v>
      </c>
      <c r="W58" s="25">
        <v>0.1017</v>
      </c>
      <c r="X58" s="25">
        <v>0.60740000000000005</v>
      </c>
      <c r="Y58" s="25">
        <v>0.79290000000000005</v>
      </c>
      <c r="Z58" s="25">
        <v>0.26719999999999999</v>
      </c>
      <c r="AA58" s="25">
        <v>0.59460000000000002</v>
      </c>
      <c r="AB58" s="25">
        <v>-0.1061</v>
      </c>
      <c r="AC58" s="25">
        <v>0.45019999999999999</v>
      </c>
      <c r="AD58" s="25">
        <v>0.65580000000000005</v>
      </c>
      <c r="AE58" s="25">
        <v>0.75919999999999999</v>
      </c>
      <c r="AF58" s="25">
        <v>0.65</v>
      </c>
      <c r="AG58" s="25">
        <v>-3.7199999999999997E-2</v>
      </c>
      <c r="AH58" s="25">
        <v>-0.1187</v>
      </c>
      <c r="AI58" s="25">
        <v>0.14180000000000001</v>
      </c>
      <c r="AJ58" s="25">
        <v>-3.5999999999999999E-3</v>
      </c>
      <c r="AK58" s="25">
        <v>-1.6500000000000001E-2</v>
      </c>
      <c r="AL58" s="25">
        <v>0.18509999999999999</v>
      </c>
      <c r="AM58" s="25">
        <v>0.2195</v>
      </c>
      <c r="AN58" s="25">
        <v>0.47010000000000002</v>
      </c>
      <c r="AO58" s="25">
        <v>-2.3E-2</v>
      </c>
      <c r="AP58" s="25">
        <v>0.21809999999999999</v>
      </c>
      <c r="AQ58" s="25">
        <v>-1.9300000000000001E-2</v>
      </c>
      <c r="AR58" s="25">
        <v>0.10059999999999999</v>
      </c>
      <c r="AS58" s="25">
        <v>1.26E-2</v>
      </c>
      <c r="AT58" s="25">
        <v>0.49569999999999997</v>
      </c>
      <c r="AU58" s="25">
        <v>0.44519999999999998</v>
      </c>
      <c r="AV58" s="25">
        <v>-1.6199999999999999E-2</v>
      </c>
      <c r="AW58" s="25">
        <v>0.44529999999999997</v>
      </c>
      <c r="AX58" s="25">
        <v>6.4000000000000003E-3</v>
      </c>
      <c r="AY58" s="25">
        <v>0.10920000000000001</v>
      </c>
      <c r="AZ58" s="25">
        <v>9.8900000000000002E-2</v>
      </c>
      <c r="BA58" s="25">
        <v>0.71499999999999997</v>
      </c>
      <c r="BB58" s="25">
        <v>0.66239999999999999</v>
      </c>
      <c r="BC58" s="25">
        <v>0.66139999999999999</v>
      </c>
      <c r="BD58" s="25">
        <v>-0.18529999999999999</v>
      </c>
      <c r="BE58" s="25">
        <v>-0.19539999999999999</v>
      </c>
      <c r="BF58" s="25">
        <v>0.44059999999999999</v>
      </c>
      <c r="BG58" s="25">
        <v>7.9699999999999993E-2</v>
      </c>
      <c r="BH58" s="25">
        <v>0.1343</v>
      </c>
      <c r="BI58" s="25">
        <v>7.3700000000000002E-2</v>
      </c>
      <c r="BJ58" s="25">
        <v>0.67549999999999999</v>
      </c>
      <c r="BK58" s="25">
        <v>0.71140000000000003</v>
      </c>
      <c r="BL58" s="25">
        <v>-0.1729</v>
      </c>
      <c r="BM58" s="25">
        <v>-4.1999999999999997E-3</v>
      </c>
      <c r="BN58" s="25">
        <v>4.0000000000000002E-4</v>
      </c>
      <c r="BO58" s="25">
        <v>5.62E-2</v>
      </c>
      <c r="BP58" s="25">
        <v>0.73309999999999997</v>
      </c>
      <c r="BQ58" s="25">
        <v>6.8699999999999997E-2</v>
      </c>
      <c r="BR58" s="25">
        <v>-0.1037</v>
      </c>
      <c r="BS58" s="25">
        <v>6.3799999999999996E-2</v>
      </c>
      <c r="BT58" s="25">
        <v>2.9600000000000001E-2</v>
      </c>
      <c r="BU58" s="25">
        <v>-0.1628</v>
      </c>
      <c r="BV58" s="25">
        <v>-0.15429999999999999</v>
      </c>
      <c r="BW58" s="25">
        <v>0.15570000000000001</v>
      </c>
      <c r="BX58" s="25">
        <v>0.63039999999999996</v>
      </c>
      <c r="BY58" s="25">
        <v>0.73270000000000002</v>
      </c>
      <c r="BZ58" s="25">
        <v>-0.17080000000000001</v>
      </c>
      <c r="DO58" s="25">
        <v>0</v>
      </c>
      <c r="DP58" s="25">
        <v>0</v>
      </c>
      <c r="DS58" s="25">
        <v>0</v>
      </c>
    </row>
    <row r="59" spans="1:128" x14ac:dyDescent="0.25">
      <c r="A59" s="25" t="s">
        <v>454</v>
      </c>
      <c r="B59" s="25">
        <v>41</v>
      </c>
      <c r="C59" s="25">
        <v>2009</v>
      </c>
      <c r="D59" s="25" t="s">
        <v>451</v>
      </c>
      <c r="E59" s="25" t="s">
        <v>360</v>
      </c>
      <c r="F59" s="25" t="s">
        <v>452</v>
      </c>
      <c r="G59" s="25" t="s">
        <v>364</v>
      </c>
      <c r="H59" s="25">
        <v>1</v>
      </c>
      <c r="I59" s="25">
        <v>383</v>
      </c>
      <c r="J59" s="28">
        <v>60.8</v>
      </c>
      <c r="K59" s="29">
        <v>23.39</v>
      </c>
      <c r="L59" s="25">
        <v>0</v>
      </c>
      <c r="M59" s="25">
        <v>5</v>
      </c>
      <c r="N59" s="25">
        <v>3</v>
      </c>
      <c r="O59" s="25">
        <v>1</v>
      </c>
      <c r="P59" s="25">
        <v>3</v>
      </c>
      <c r="Q59" s="25">
        <v>2</v>
      </c>
      <c r="R59" s="25" t="s">
        <v>455</v>
      </c>
      <c r="S59" s="25">
        <v>0.37</v>
      </c>
      <c r="T59" s="25">
        <v>0</v>
      </c>
      <c r="U59" s="25">
        <v>0.81</v>
      </c>
      <c r="V59" s="25">
        <v>0</v>
      </c>
      <c r="W59" s="25">
        <v>0</v>
      </c>
      <c r="X59" s="25">
        <v>0.66</v>
      </c>
      <c r="Y59" s="25">
        <v>0.53</v>
      </c>
      <c r="Z59" s="25">
        <v>0</v>
      </c>
      <c r="AA59" s="25">
        <v>0.62</v>
      </c>
      <c r="AB59" s="25">
        <v>0</v>
      </c>
      <c r="AC59" s="25">
        <v>0</v>
      </c>
      <c r="AD59" s="25">
        <v>0</v>
      </c>
      <c r="AE59" s="25">
        <v>0.77</v>
      </c>
      <c r="AF59" s="25">
        <v>0.59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0.51</v>
      </c>
      <c r="AO59" s="25">
        <v>0</v>
      </c>
      <c r="AP59" s="25">
        <v>-0.28999999999999998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0.64</v>
      </c>
      <c r="AX59" s="25">
        <v>0.22</v>
      </c>
      <c r="AY59" s="25">
        <v>0</v>
      </c>
      <c r="AZ59" s="25">
        <v>0</v>
      </c>
      <c r="BA59" s="25">
        <v>0</v>
      </c>
      <c r="BB59" s="25">
        <v>0</v>
      </c>
      <c r="BC59" s="25">
        <v>0.5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0.74</v>
      </c>
      <c r="BL59" s="25">
        <v>0</v>
      </c>
      <c r="BM59" s="25">
        <v>0</v>
      </c>
      <c r="BN59" s="25">
        <v>-0.16</v>
      </c>
      <c r="BO59" s="25">
        <v>0</v>
      </c>
      <c r="BP59" s="25">
        <v>0.20799999999999999</v>
      </c>
      <c r="BQ59" s="25">
        <v>0</v>
      </c>
      <c r="BR59" s="25">
        <v>0</v>
      </c>
      <c r="BS59" s="25">
        <v>0</v>
      </c>
      <c r="BT59" s="25">
        <v>0</v>
      </c>
      <c r="BU59" s="25">
        <v>-2.9000000000000001E-2</v>
      </c>
      <c r="BV59" s="25">
        <v>-0.35</v>
      </c>
      <c r="BW59" s="25">
        <v>0</v>
      </c>
      <c r="BX59" s="25">
        <v>-0.09</v>
      </c>
      <c r="BY59" s="25">
        <v>0.67</v>
      </c>
      <c r="BZ59" s="25">
        <v>-0.15</v>
      </c>
      <c r="DO59" s="25">
        <v>0.53</v>
      </c>
      <c r="DP59" s="25">
        <v>0.12</v>
      </c>
      <c r="DS59" s="25">
        <v>0.36</v>
      </c>
    </row>
    <row r="60" spans="1:128" x14ac:dyDescent="0.25">
      <c r="A60" s="25" t="s">
        <v>514</v>
      </c>
      <c r="B60" s="25">
        <v>42</v>
      </c>
      <c r="C60" s="25">
        <v>2009</v>
      </c>
      <c r="D60" s="25" t="s">
        <v>516</v>
      </c>
      <c r="E60" s="25" t="s">
        <v>360</v>
      </c>
      <c r="F60" s="25" t="s">
        <v>517</v>
      </c>
      <c r="G60" s="25" t="s">
        <v>518</v>
      </c>
      <c r="H60" s="25">
        <v>1</v>
      </c>
      <c r="I60" s="25">
        <v>143</v>
      </c>
      <c r="J60" s="28">
        <v>100</v>
      </c>
      <c r="L60" s="25">
        <v>0</v>
      </c>
      <c r="M60" s="25">
        <v>5</v>
      </c>
      <c r="N60" s="25">
        <v>3</v>
      </c>
      <c r="O60" s="25">
        <v>1</v>
      </c>
      <c r="P60" s="25">
        <v>3</v>
      </c>
      <c r="Q60" s="25">
        <v>2</v>
      </c>
      <c r="R60" s="25" t="s">
        <v>519</v>
      </c>
      <c r="S60" s="25">
        <v>0.48799999999999999</v>
      </c>
      <c r="T60" s="25">
        <v>0</v>
      </c>
      <c r="U60" s="25">
        <v>0.68400000000000005</v>
      </c>
      <c r="V60" s="25">
        <v>0</v>
      </c>
      <c r="W60" s="25">
        <v>0</v>
      </c>
      <c r="X60" s="25">
        <v>0.65500000000000003</v>
      </c>
      <c r="Y60" s="25">
        <v>0.39700000000000002</v>
      </c>
      <c r="Z60" s="25">
        <v>0</v>
      </c>
      <c r="AA60" s="25">
        <v>0.61199999999999999</v>
      </c>
      <c r="AB60" s="25">
        <v>0</v>
      </c>
      <c r="AC60" s="25">
        <v>0</v>
      </c>
      <c r="AD60" s="25">
        <v>0</v>
      </c>
      <c r="AE60" s="25">
        <v>0.92300000000000004</v>
      </c>
      <c r="AF60" s="25">
        <v>0.69799999999999995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0.57599999999999996</v>
      </c>
      <c r="AO60" s="25">
        <v>0</v>
      </c>
      <c r="AP60" s="25">
        <v>0.20599999999999999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0.66100000000000003</v>
      </c>
      <c r="AX60" s="25">
        <v>0.42699999999999999</v>
      </c>
      <c r="AY60" s="25">
        <v>0</v>
      </c>
      <c r="AZ60" s="25">
        <v>0</v>
      </c>
      <c r="BA60" s="25">
        <v>0</v>
      </c>
      <c r="BB60" s="25">
        <v>0</v>
      </c>
      <c r="BC60" s="25">
        <v>0.438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0.69599999999999995</v>
      </c>
      <c r="BL60" s="25">
        <v>0</v>
      </c>
      <c r="BM60" s="25">
        <v>0</v>
      </c>
      <c r="BN60" s="25">
        <v>0.50600000000000001</v>
      </c>
      <c r="BO60" s="25">
        <v>0</v>
      </c>
      <c r="BP60" s="25">
        <v>0.72399999999999998</v>
      </c>
      <c r="BQ60" s="25">
        <v>0</v>
      </c>
      <c r="BR60" s="25">
        <v>0</v>
      </c>
      <c r="BS60" s="25">
        <v>0</v>
      </c>
      <c r="BT60" s="25">
        <v>0</v>
      </c>
      <c r="BU60" s="25">
        <v>0.52100000000000002</v>
      </c>
      <c r="BV60" s="25">
        <v>0.28000000000000003</v>
      </c>
      <c r="BW60" s="25">
        <v>0</v>
      </c>
      <c r="BX60" s="25">
        <v>0.58099999999999996</v>
      </c>
      <c r="BY60" s="25">
        <v>0.63800000000000001</v>
      </c>
      <c r="BZ60" s="25">
        <v>0.28899999999999998</v>
      </c>
      <c r="DO60" s="25">
        <v>0.82</v>
      </c>
      <c r="DP60" s="25">
        <v>0.27</v>
      </c>
      <c r="DS60" s="25">
        <v>0.33</v>
      </c>
    </row>
    <row r="61" spans="1:128" x14ac:dyDescent="0.25">
      <c r="A61" s="25" t="s">
        <v>515</v>
      </c>
      <c r="B61" s="25">
        <v>42</v>
      </c>
      <c r="C61" s="25">
        <v>2009</v>
      </c>
      <c r="D61" s="25" t="s">
        <v>516</v>
      </c>
      <c r="E61" s="25" t="s">
        <v>360</v>
      </c>
      <c r="F61" s="25" t="s">
        <v>517</v>
      </c>
      <c r="G61" s="25" t="s">
        <v>518</v>
      </c>
      <c r="H61" s="25">
        <v>1</v>
      </c>
      <c r="I61" s="25">
        <v>147</v>
      </c>
      <c r="J61" s="28">
        <v>0</v>
      </c>
      <c r="L61" s="25">
        <v>0</v>
      </c>
      <c r="M61" s="25">
        <v>5</v>
      </c>
      <c r="N61" s="25">
        <v>3</v>
      </c>
      <c r="O61" s="25">
        <v>1</v>
      </c>
      <c r="P61" s="25">
        <v>3</v>
      </c>
      <c r="Q61" s="25">
        <v>2</v>
      </c>
      <c r="S61" s="25">
        <v>0.57799999999999996</v>
      </c>
      <c r="T61" s="25">
        <v>0</v>
      </c>
      <c r="U61" s="25">
        <v>0.753</v>
      </c>
      <c r="V61" s="25">
        <v>0</v>
      </c>
      <c r="W61" s="25">
        <v>0</v>
      </c>
      <c r="X61" s="25">
        <v>0.63300000000000001</v>
      </c>
      <c r="Y61" s="25">
        <v>0.78800000000000003</v>
      </c>
      <c r="Z61" s="25">
        <v>0</v>
      </c>
      <c r="AA61" s="25">
        <v>0.82899999999999996</v>
      </c>
      <c r="AB61" s="25">
        <v>0</v>
      </c>
      <c r="AC61" s="25">
        <v>0</v>
      </c>
      <c r="AD61" s="25">
        <v>0</v>
      </c>
      <c r="AE61" s="25">
        <v>0.64900000000000002</v>
      </c>
      <c r="AF61" s="25">
        <v>0.53700000000000003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0.64900000000000002</v>
      </c>
      <c r="AO61" s="25">
        <v>0</v>
      </c>
      <c r="AP61" s="25">
        <v>0.23799999999999999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0.73599999999999999</v>
      </c>
      <c r="AX61" s="25">
        <v>0.71799999999999997</v>
      </c>
      <c r="AY61" s="25">
        <v>0</v>
      </c>
      <c r="AZ61" s="25">
        <v>0</v>
      </c>
      <c r="BA61" s="25">
        <v>0</v>
      </c>
      <c r="BB61" s="25">
        <v>0</v>
      </c>
      <c r="BC61" s="25">
        <v>0.64100000000000001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0.57999999999999996</v>
      </c>
      <c r="BL61" s="25">
        <v>0</v>
      </c>
      <c r="BM61" s="25">
        <v>0</v>
      </c>
      <c r="BN61" s="25">
        <v>0.78600000000000003</v>
      </c>
      <c r="BO61" s="25">
        <v>0</v>
      </c>
      <c r="BP61" s="25">
        <v>0.58599999999999997</v>
      </c>
      <c r="BQ61" s="25">
        <v>0</v>
      </c>
      <c r="BR61" s="25">
        <v>0</v>
      </c>
      <c r="BS61" s="25">
        <v>0</v>
      </c>
      <c r="BT61" s="25">
        <v>0</v>
      </c>
      <c r="BU61" s="25">
        <v>0.65</v>
      </c>
      <c r="BV61" s="25">
        <v>0.47099999999999997</v>
      </c>
      <c r="BW61" s="25">
        <v>0</v>
      </c>
      <c r="BX61" s="25">
        <v>0.57199999999999995</v>
      </c>
      <c r="BY61" s="25">
        <v>0.79700000000000004</v>
      </c>
      <c r="BZ61" s="25">
        <v>0.29899999999999999</v>
      </c>
      <c r="DO61" s="25">
        <v>0.91</v>
      </c>
      <c r="DP61" s="25">
        <v>0.52</v>
      </c>
      <c r="DS61" s="25">
        <v>0.73</v>
      </c>
    </row>
    <row r="62" spans="1:128" x14ac:dyDescent="0.25">
      <c r="A62" s="25" t="s">
        <v>553</v>
      </c>
      <c r="B62" s="25">
        <v>43</v>
      </c>
      <c r="C62" s="25">
        <v>2010</v>
      </c>
      <c r="D62" s="25" t="s">
        <v>363</v>
      </c>
      <c r="E62" s="25" t="s">
        <v>372</v>
      </c>
      <c r="F62" s="25" t="s">
        <v>362</v>
      </c>
      <c r="G62" s="25" t="s">
        <v>557</v>
      </c>
      <c r="H62" s="25">
        <v>1</v>
      </c>
      <c r="I62" s="25">
        <v>267</v>
      </c>
      <c r="J62" s="28">
        <v>59</v>
      </c>
      <c r="K62" s="29">
        <v>20.07</v>
      </c>
      <c r="L62" s="25">
        <v>0</v>
      </c>
      <c r="M62" s="25">
        <v>5</v>
      </c>
      <c r="N62" s="25">
        <v>3</v>
      </c>
      <c r="O62" s="25">
        <v>1</v>
      </c>
      <c r="P62" s="25">
        <v>3</v>
      </c>
      <c r="Q62" s="25">
        <v>2</v>
      </c>
      <c r="S62" s="25">
        <v>0.67</v>
      </c>
      <c r="T62" s="25">
        <v>0</v>
      </c>
      <c r="U62" s="25">
        <v>0.35</v>
      </c>
      <c r="V62" s="25">
        <v>0</v>
      </c>
      <c r="W62" s="25">
        <v>0</v>
      </c>
      <c r="X62" s="25">
        <v>0.66</v>
      </c>
      <c r="Y62" s="25">
        <v>0.45</v>
      </c>
      <c r="Z62" s="25">
        <v>0</v>
      </c>
      <c r="AA62" s="25">
        <v>0.71</v>
      </c>
      <c r="AB62" s="25">
        <v>0</v>
      </c>
      <c r="AC62" s="25">
        <v>0</v>
      </c>
      <c r="AD62" s="25">
        <v>0</v>
      </c>
      <c r="AE62" s="25">
        <v>0.67</v>
      </c>
      <c r="AF62" s="25">
        <v>0.64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0.7</v>
      </c>
      <c r="AO62" s="25">
        <v>0</v>
      </c>
      <c r="AP62" s="25">
        <v>0.7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0.69</v>
      </c>
      <c r="AX62" s="25">
        <v>0.57999999999999996</v>
      </c>
      <c r="AY62" s="25">
        <v>0</v>
      </c>
      <c r="AZ62" s="25">
        <v>0</v>
      </c>
      <c r="BA62" s="25">
        <v>0</v>
      </c>
      <c r="BB62" s="25">
        <v>0</v>
      </c>
      <c r="BC62" s="25">
        <v>0.63</v>
      </c>
      <c r="BD62" s="25">
        <v>0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0.4</v>
      </c>
      <c r="BL62" s="25">
        <v>0</v>
      </c>
      <c r="BM62" s="25">
        <v>0</v>
      </c>
      <c r="BN62" s="25">
        <v>0.41</v>
      </c>
      <c r="BO62" s="25">
        <v>0</v>
      </c>
      <c r="BP62" s="25">
        <v>0.68</v>
      </c>
      <c r="BQ62" s="25">
        <v>0</v>
      </c>
      <c r="BR62" s="25">
        <v>0</v>
      </c>
      <c r="BS62" s="25">
        <v>0</v>
      </c>
      <c r="BT62" s="25">
        <v>0</v>
      </c>
      <c r="BU62" s="25">
        <v>0.6</v>
      </c>
      <c r="BV62" s="25">
        <v>0.45</v>
      </c>
      <c r="BW62" s="25">
        <v>0</v>
      </c>
      <c r="BX62" s="25">
        <v>0.39</v>
      </c>
      <c r="BY62" s="25">
        <v>0.71</v>
      </c>
      <c r="BZ62" s="25">
        <v>0.48</v>
      </c>
      <c r="DO62" s="25">
        <v>0.81</v>
      </c>
      <c r="DP62" s="25">
        <v>0.46</v>
      </c>
      <c r="DS62" s="25">
        <v>0.56000000000000005</v>
      </c>
    </row>
    <row r="63" spans="1:128" x14ac:dyDescent="0.25">
      <c r="A63" s="25" t="s">
        <v>554</v>
      </c>
      <c r="B63" s="25">
        <v>43</v>
      </c>
      <c r="C63" s="25">
        <v>2010</v>
      </c>
      <c r="D63" s="25" t="s">
        <v>363</v>
      </c>
      <c r="E63" s="25" t="s">
        <v>372</v>
      </c>
      <c r="F63" s="25" t="s">
        <v>362</v>
      </c>
      <c r="G63" s="25" t="s">
        <v>558</v>
      </c>
      <c r="H63" s="25">
        <v>1</v>
      </c>
      <c r="I63" s="25">
        <v>288</v>
      </c>
      <c r="J63" s="28">
        <v>64</v>
      </c>
      <c r="K63" s="25">
        <v>17.5</v>
      </c>
      <c r="L63" s="25">
        <v>0</v>
      </c>
      <c r="M63" s="25">
        <v>5</v>
      </c>
      <c r="N63" s="25">
        <v>3</v>
      </c>
      <c r="O63" s="25">
        <v>1</v>
      </c>
      <c r="P63" s="25">
        <v>3</v>
      </c>
      <c r="Q63" s="25">
        <v>2</v>
      </c>
      <c r="R63" s="25" t="s">
        <v>531</v>
      </c>
      <c r="S63" s="25">
        <v>0.72</v>
      </c>
      <c r="T63" s="25">
        <v>0</v>
      </c>
      <c r="U63" s="25">
        <v>0.47</v>
      </c>
      <c r="V63" s="25">
        <v>0</v>
      </c>
      <c r="W63" s="25">
        <v>0</v>
      </c>
      <c r="X63" s="25">
        <v>0.64</v>
      </c>
      <c r="Y63" s="25">
        <v>0.09</v>
      </c>
      <c r="Z63" s="25">
        <v>0</v>
      </c>
      <c r="AA63" s="25">
        <v>0.71</v>
      </c>
      <c r="AB63" s="25">
        <v>0</v>
      </c>
      <c r="AC63" s="25">
        <v>0</v>
      </c>
      <c r="AD63" s="25">
        <v>0</v>
      </c>
      <c r="AE63" s="25">
        <v>0.72</v>
      </c>
      <c r="AF63" s="25">
        <v>0.49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0.66</v>
      </c>
      <c r="AO63" s="25">
        <v>0</v>
      </c>
      <c r="AP63" s="25">
        <v>0.79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0.63</v>
      </c>
      <c r="AX63" s="25">
        <v>0.56000000000000005</v>
      </c>
      <c r="AY63" s="25">
        <v>0</v>
      </c>
      <c r="AZ63" s="25">
        <v>0</v>
      </c>
      <c r="BA63" s="25">
        <v>0</v>
      </c>
      <c r="BB63" s="25">
        <v>0</v>
      </c>
      <c r="BC63" s="25">
        <v>0.74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0.42</v>
      </c>
      <c r="BL63" s="25">
        <v>0</v>
      </c>
      <c r="BM63" s="25">
        <v>0</v>
      </c>
      <c r="BN63" s="25">
        <v>0.43</v>
      </c>
      <c r="BO63" s="25">
        <v>0</v>
      </c>
      <c r="BP63" s="25">
        <v>0.68</v>
      </c>
      <c r="BQ63" s="25">
        <v>0</v>
      </c>
      <c r="BR63" s="25">
        <v>0</v>
      </c>
      <c r="BS63" s="25">
        <v>0</v>
      </c>
      <c r="BT63" s="25">
        <v>0</v>
      </c>
      <c r="BU63" s="25">
        <v>0.5</v>
      </c>
      <c r="BV63" s="25">
        <v>0.3</v>
      </c>
      <c r="BW63" s="25">
        <v>0</v>
      </c>
      <c r="BX63" s="25">
        <v>0.37</v>
      </c>
      <c r="BY63" s="25">
        <v>0.6</v>
      </c>
      <c r="BZ63" s="25">
        <v>0.3</v>
      </c>
      <c r="DO63" s="25">
        <v>0.67</v>
      </c>
      <c r="DP63" s="25">
        <v>0.22</v>
      </c>
      <c r="DS63" s="25">
        <v>0.51</v>
      </c>
    </row>
    <row r="64" spans="1:128" x14ac:dyDescent="0.25">
      <c r="A64" s="25" t="s">
        <v>555</v>
      </c>
      <c r="B64" s="25">
        <v>43</v>
      </c>
      <c r="C64" s="25">
        <v>2010</v>
      </c>
      <c r="D64" s="25" t="s">
        <v>363</v>
      </c>
      <c r="E64" s="25" t="s">
        <v>372</v>
      </c>
      <c r="F64" s="25" t="s">
        <v>362</v>
      </c>
      <c r="G64" s="25" t="s">
        <v>559</v>
      </c>
      <c r="H64" s="25">
        <v>1</v>
      </c>
      <c r="I64" s="25">
        <v>297</v>
      </c>
      <c r="J64" s="28">
        <v>60</v>
      </c>
      <c r="K64" s="25">
        <v>15.5</v>
      </c>
      <c r="L64" s="25">
        <v>0</v>
      </c>
      <c r="M64" s="25">
        <v>5</v>
      </c>
      <c r="N64" s="25">
        <v>3</v>
      </c>
      <c r="O64" s="25">
        <v>1</v>
      </c>
      <c r="P64" s="25">
        <v>3</v>
      </c>
      <c r="Q64" s="25">
        <v>2</v>
      </c>
      <c r="S64" s="25">
        <v>0.74</v>
      </c>
      <c r="T64" s="25">
        <v>0</v>
      </c>
      <c r="U64" s="25">
        <v>0.17</v>
      </c>
      <c r="V64" s="25">
        <v>0</v>
      </c>
      <c r="W64" s="25">
        <v>0</v>
      </c>
      <c r="X64" s="25">
        <v>0.56999999999999995</v>
      </c>
      <c r="Y64" s="25">
        <v>0.16</v>
      </c>
      <c r="Z64" s="25">
        <v>0</v>
      </c>
      <c r="AA64" s="25">
        <v>0.64</v>
      </c>
      <c r="AB64" s="25">
        <v>0</v>
      </c>
      <c r="AC64" s="25">
        <v>0</v>
      </c>
      <c r="AD64" s="25">
        <v>0</v>
      </c>
      <c r="AE64" s="25">
        <v>0.67</v>
      </c>
      <c r="AF64" s="25">
        <v>0.39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0.67</v>
      </c>
      <c r="AO64" s="25">
        <v>0</v>
      </c>
      <c r="AP64" s="25">
        <v>0.86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0.56999999999999995</v>
      </c>
      <c r="AX64" s="25">
        <v>0.48</v>
      </c>
      <c r="AY64" s="25">
        <v>0</v>
      </c>
      <c r="AZ64" s="25">
        <v>0</v>
      </c>
      <c r="BA64" s="25">
        <v>0</v>
      </c>
      <c r="BB64" s="25">
        <v>0</v>
      </c>
      <c r="BC64" s="25">
        <v>0.73</v>
      </c>
      <c r="BD64" s="25">
        <v>0</v>
      </c>
      <c r="BE64" s="25">
        <v>0</v>
      </c>
      <c r="BF64" s="25">
        <v>0</v>
      </c>
      <c r="BG64" s="25">
        <v>0</v>
      </c>
      <c r="BH64" s="25">
        <v>0</v>
      </c>
      <c r="BI64" s="25">
        <v>0</v>
      </c>
      <c r="BJ64" s="25">
        <v>0</v>
      </c>
      <c r="BK64" s="25">
        <v>0.2</v>
      </c>
      <c r="BL64" s="25">
        <v>0</v>
      </c>
      <c r="BM64" s="25">
        <v>0</v>
      </c>
      <c r="BN64" s="25">
        <v>0.26</v>
      </c>
      <c r="BO64" s="25">
        <v>0</v>
      </c>
      <c r="BP64" s="25">
        <v>0.79</v>
      </c>
      <c r="BQ64" s="25">
        <v>0</v>
      </c>
      <c r="BR64" s="25">
        <v>0</v>
      </c>
      <c r="BS64" s="25">
        <v>0</v>
      </c>
      <c r="BT64" s="25">
        <v>0</v>
      </c>
      <c r="BU64" s="25">
        <v>0.41</v>
      </c>
      <c r="BV64" s="25">
        <v>0.14000000000000001</v>
      </c>
      <c r="BW64" s="25">
        <v>0</v>
      </c>
      <c r="BX64" s="25">
        <v>0.34</v>
      </c>
      <c r="BY64" s="25">
        <v>0.6</v>
      </c>
      <c r="BZ64" s="25">
        <v>0.02</v>
      </c>
      <c r="DO64" s="25">
        <v>0.62</v>
      </c>
      <c r="DP64" s="25">
        <v>0.17</v>
      </c>
      <c r="DS64" s="25">
        <v>0.45</v>
      </c>
    </row>
    <row r="65" spans="1:128" x14ac:dyDescent="0.25">
      <c r="A65" s="25" t="s">
        <v>556</v>
      </c>
      <c r="B65" s="25">
        <v>43</v>
      </c>
      <c r="C65" s="25">
        <v>2010</v>
      </c>
      <c r="D65" s="25" t="s">
        <v>363</v>
      </c>
      <c r="E65" s="25" t="s">
        <v>372</v>
      </c>
      <c r="F65" s="25" t="s">
        <v>362</v>
      </c>
      <c r="G65" s="25" t="s">
        <v>560</v>
      </c>
      <c r="H65" s="25">
        <v>1</v>
      </c>
      <c r="I65" s="25">
        <v>149</v>
      </c>
      <c r="J65" s="28">
        <v>54</v>
      </c>
      <c r="K65" s="25">
        <v>13.5</v>
      </c>
      <c r="L65" s="25">
        <v>0</v>
      </c>
      <c r="M65" s="25">
        <v>5</v>
      </c>
      <c r="N65" s="25">
        <v>3</v>
      </c>
      <c r="O65" s="25">
        <v>1</v>
      </c>
      <c r="P65" s="25">
        <v>3</v>
      </c>
      <c r="Q65" s="25">
        <v>2</v>
      </c>
      <c r="S65" s="25">
        <v>0.4</v>
      </c>
      <c r="T65" s="25">
        <v>0</v>
      </c>
      <c r="U65" s="25">
        <v>0.36</v>
      </c>
      <c r="V65" s="25">
        <v>0</v>
      </c>
      <c r="W65" s="25">
        <v>0</v>
      </c>
      <c r="X65" s="25">
        <v>0.42</v>
      </c>
      <c r="Y65" s="25">
        <v>0.12</v>
      </c>
      <c r="Z65" s="25">
        <v>0</v>
      </c>
      <c r="AA65" s="25">
        <v>0.68</v>
      </c>
      <c r="AB65" s="25">
        <v>0</v>
      </c>
      <c r="AC65" s="25">
        <v>0</v>
      </c>
      <c r="AD65" s="25">
        <v>0</v>
      </c>
      <c r="AE65" s="25">
        <v>0.26</v>
      </c>
      <c r="AF65" s="25">
        <v>0.41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0.52</v>
      </c>
      <c r="AO65" s="25">
        <v>0</v>
      </c>
      <c r="AP65" s="25">
        <v>0.65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0.45</v>
      </c>
      <c r="AX65" s="25">
        <v>0.53</v>
      </c>
      <c r="AY65" s="25">
        <v>0</v>
      </c>
      <c r="AZ65" s="25">
        <v>0</v>
      </c>
      <c r="BA65" s="25">
        <v>0</v>
      </c>
      <c r="BB65" s="25">
        <v>0</v>
      </c>
      <c r="BC65" s="25">
        <v>0.56000000000000005</v>
      </c>
      <c r="BD65" s="25">
        <v>0</v>
      </c>
      <c r="BE65" s="25">
        <v>0</v>
      </c>
      <c r="BF65" s="25">
        <v>0</v>
      </c>
      <c r="BG65" s="25">
        <v>0</v>
      </c>
      <c r="BH65" s="25">
        <v>0</v>
      </c>
      <c r="BI65" s="25">
        <v>0</v>
      </c>
      <c r="BJ65" s="25">
        <v>0</v>
      </c>
      <c r="BK65" s="25">
        <v>0.21</v>
      </c>
      <c r="BL65" s="25">
        <v>0</v>
      </c>
      <c r="BM65" s="25">
        <v>0</v>
      </c>
      <c r="BN65" s="25">
        <v>0.27</v>
      </c>
      <c r="BO65" s="25">
        <v>0</v>
      </c>
      <c r="BP65" s="25">
        <v>0.56000000000000005</v>
      </c>
      <c r="BQ65" s="25">
        <v>0</v>
      </c>
      <c r="BR65" s="25">
        <v>0</v>
      </c>
      <c r="BS65" s="25">
        <v>0</v>
      </c>
      <c r="BT65" s="25">
        <v>0</v>
      </c>
      <c r="BU65" s="25">
        <v>0.5</v>
      </c>
      <c r="BV65" s="25">
        <v>0.11</v>
      </c>
      <c r="BW65" s="25">
        <v>0</v>
      </c>
      <c r="BX65" s="25">
        <v>0.39</v>
      </c>
      <c r="BY65" s="25">
        <v>0.57999999999999996</v>
      </c>
      <c r="BZ65" s="25">
        <v>0.09</v>
      </c>
      <c r="DO65" s="25">
        <v>0.72</v>
      </c>
      <c r="DP65" s="25">
        <v>-0.05</v>
      </c>
      <c r="DS65" s="25">
        <v>0.42</v>
      </c>
    </row>
    <row r="66" spans="1:128" x14ac:dyDescent="0.25">
      <c r="A66" s="25" t="s">
        <v>575</v>
      </c>
      <c r="B66" s="25">
        <v>44</v>
      </c>
      <c r="C66" s="25">
        <v>2010</v>
      </c>
      <c r="D66" s="25" t="s">
        <v>466</v>
      </c>
      <c r="E66" s="25" t="s">
        <v>466</v>
      </c>
      <c r="F66" s="25" t="s">
        <v>362</v>
      </c>
      <c r="G66" s="25" t="s">
        <v>576</v>
      </c>
      <c r="H66" s="25">
        <v>1</v>
      </c>
      <c r="I66" s="25">
        <v>210</v>
      </c>
      <c r="J66" s="28">
        <f>(210-144)/210*100</f>
        <v>31.428571428571427</v>
      </c>
      <c r="K66" s="29">
        <v>38.17</v>
      </c>
      <c r="L66" s="25">
        <v>1</v>
      </c>
      <c r="M66" s="25">
        <v>5</v>
      </c>
      <c r="N66" s="25">
        <v>3</v>
      </c>
      <c r="O66" s="25">
        <v>1</v>
      </c>
      <c r="P66" s="25">
        <v>3</v>
      </c>
      <c r="Q66" s="25">
        <v>2</v>
      </c>
      <c r="S66" s="25">
        <v>0.68</v>
      </c>
      <c r="T66" s="25">
        <v>0</v>
      </c>
      <c r="U66" s="25">
        <v>0.44</v>
      </c>
      <c r="V66" s="25">
        <v>0</v>
      </c>
      <c r="W66" s="25">
        <v>0</v>
      </c>
      <c r="X66" s="25">
        <v>0.68</v>
      </c>
      <c r="Y66" s="25">
        <v>0.56999999999999995</v>
      </c>
      <c r="Z66" s="25">
        <v>0</v>
      </c>
      <c r="AA66" s="25">
        <v>0.73</v>
      </c>
      <c r="AB66" s="25">
        <v>0</v>
      </c>
      <c r="AC66" s="25">
        <v>0</v>
      </c>
      <c r="AD66" s="25">
        <v>0</v>
      </c>
      <c r="AE66" s="25">
        <v>0.78</v>
      </c>
      <c r="AF66" s="25">
        <v>0.7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0.77</v>
      </c>
      <c r="AO66" s="25">
        <v>0</v>
      </c>
      <c r="AP66" s="25">
        <v>0.31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0.76</v>
      </c>
      <c r="AX66" s="25">
        <v>0.56999999999999995</v>
      </c>
      <c r="AY66" s="25">
        <v>0</v>
      </c>
      <c r="AZ66" s="25">
        <v>0</v>
      </c>
      <c r="BA66" s="25">
        <v>0</v>
      </c>
      <c r="BB66" s="25">
        <v>0</v>
      </c>
      <c r="BC66" s="25">
        <v>0.62</v>
      </c>
      <c r="BD66" s="25">
        <v>0</v>
      </c>
      <c r="BE66" s="25">
        <v>0</v>
      </c>
      <c r="BF66" s="25">
        <v>0</v>
      </c>
      <c r="BG66" s="25">
        <v>0</v>
      </c>
      <c r="BH66" s="25">
        <v>0</v>
      </c>
      <c r="BI66" s="25">
        <v>0</v>
      </c>
      <c r="BJ66" s="25">
        <v>0</v>
      </c>
      <c r="BK66" s="25">
        <v>0.13</v>
      </c>
      <c r="BL66" s="25">
        <v>0</v>
      </c>
      <c r="BM66" s="25">
        <v>0</v>
      </c>
      <c r="BN66" s="25">
        <v>-0.52</v>
      </c>
      <c r="BO66" s="25">
        <v>0</v>
      </c>
      <c r="BP66" s="25">
        <v>-0.11</v>
      </c>
      <c r="BQ66" s="25">
        <v>0</v>
      </c>
      <c r="BR66" s="25">
        <v>0</v>
      </c>
      <c r="BS66" s="25">
        <v>0</v>
      </c>
      <c r="BT66" s="25">
        <v>0</v>
      </c>
      <c r="BU66" s="25">
        <v>-0.63</v>
      </c>
      <c r="BV66" s="25">
        <v>-0.45</v>
      </c>
      <c r="BW66" s="25">
        <v>0</v>
      </c>
      <c r="BX66" s="25">
        <v>0.11</v>
      </c>
      <c r="BY66" s="25">
        <v>0.05</v>
      </c>
      <c r="BZ66" s="25">
        <v>-0.59</v>
      </c>
      <c r="DO66" s="25">
        <v>0.63</v>
      </c>
      <c r="DP66" s="25">
        <v>0.19</v>
      </c>
      <c r="DS66" s="25">
        <v>0.43</v>
      </c>
    </row>
    <row r="67" spans="1:128" x14ac:dyDescent="0.25">
      <c r="A67" s="25" t="s">
        <v>620</v>
      </c>
      <c r="B67" s="25">
        <v>45</v>
      </c>
      <c r="C67" s="25">
        <v>2011</v>
      </c>
      <c r="D67" s="25" t="s">
        <v>601</v>
      </c>
      <c r="E67" s="25" t="s">
        <v>373</v>
      </c>
      <c r="F67" s="25" t="s">
        <v>533</v>
      </c>
      <c r="G67" s="25" t="s">
        <v>621</v>
      </c>
      <c r="H67" s="25">
        <v>3</v>
      </c>
      <c r="I67" s="25">
        <v>245</v>
      </c>
      <c r="K67" s="29">
        <v>16.14</v>
      </c>
      <c r="L67" s="25">
        <v>0</v>
      </c>
      <c r="M67" s="25">
        <v>5</v>
      </c>
      <c r="N67" s="25">
        <v>2</v>
      </c>
      <c r="O67" s="25">
        <v>0</v>
      </c>
      <c r="P67" s="25">
        <v>1</v>
      </c>
      <c r="Q67" s="25">
        <v>1</v>
      </c>
      <c r="S67" s="25">
        <v>0.71299999999999997</v>
      </c>
      <c r="T67" s="25">
        <v>0.76600000000000001</v>
      </c>
      <c r="U67" s="25">
        <v>0.48099999999999998</v>
      </c>
      <c r="V67" s="25">
        <v>0.53100000000000003</v>
      </c>
      <c r="W67" s="25">
        <v>0</v>
      </c>
      <c r="X67" s="25">
        <v>0.59199999999999997</v>
      </c>
      <c r="Y67" s="25">
        <v>0.59699999999999998</v>
      </c>
      <c r="Z67" s="25">
        <v>0</v>
      </c>
      <c r="AA67" s="25">
        <v>0.69399999999999995</v>
      </c>
      <c r="AB67" s="25">
        <v>0</v>
      </c>
      <c r="AC67" s="25">
        <v>0.65500000000000003</v>
      </c>
      <c r="AD67" s="25">
        <v>0.45300000000000001</v>
      </c>
      <c r="AE67" s="25">
        <v>0.65600000000000003</v>
      </c>
      <c r="AF67" s="25">
        <v>0.65900000000000003</v>
      </c>
      <c r="AG67" s="25">
        <v>0</v>
      </c>
      <c r="AH67" s="25">
        <v>0</v>
      </c>
      <c r="AI67" s="25">
        <v>0.50700000000000001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0.52800000000000002</v>
      </c>
      <c r="AR67" s="25">
        <v>0</v>
      </c>
      <c r="AS67" s="25">
        <v>0</v>
      </c>
      <c r="AT67" s="25">
        <v>0.42299999999999999</v>
      </c>
      <c r="AU67" s="25">
        <v>0</v>
      </c>
      <c r="AV67" s="25">
        <v>0.624</v>
      </c>
      <c r="AW67" s="25">
        <v>0</v>
      </c>
      <c r="AX67" s="25">
        <v>0</v>
      </c>
      <c r="AY67" s="25">
        <v>0</v>
      </c>
      <c r="AZ67" s="25">
        <v>0</v>
      </c>
      <c r="BA67" s="25">
        <v>0.39900000000000002</v>
      </c>
      <c r="BB67" s="25">
        <v>0.35099999999999998</v>
      </c>
      <c r="BC67" s="25">
        <v>0</v>
      </c>
      <c r="BD67" s="25">
        <v>0.64200000000000002</v>
      </c>
      <c r="BE67" s="25">
        <v>0.748</v>
      </c>
      <c r="BF67" s="25">
        <v>0.16</v>
      </c>
      <c r="DO67" s="25">
        <v>0</v>
      </c>
    </row>
    <row r="68" spans="1:128" x14ac:dyDescent="0.25">
      <c r="A68" s="25" t="s">
        <v>471</v>
      </c>
      <c r="B68" s="25">
        <v>46</v>
      </c>
      <c r="C68" s="25">
        <v>2013</v>
      </c>
      <c r="D68" s="25" t="s">
        <v>366</v>
      </c>
      <c r="E68" s="25" t="s">
        <v>372</v>
      </c>
      <c r="F68" s="25" t="s">
        <v>362</v>
      </c>
      <c r="G68" s="25" t="s">
        <v>468</v>
      </c>
      <c r="H68" s="25">
        <v>1</v>
      </c>
      <c r="I68" s="25">
        <v>1612</v>
      </c>
      <c r="L68" s="25">
        <v>0</v>
      </c>
      <c r="M68" s="25">
        <v>5</v>
      </c>
      <c r="N68" s="25">
        <v>4</v>
      </c>
      <c r="O68" s="25">
        <v>1</v>
      </c>
      <c r="P68" s="25">
        <v>3</v>
      </c>
      <c r="Q68" s="25">
        <v>1</v>
      </c>
      <c r="R68" s="25" t="s">
        <v>524</v>
      </c>
      <c r="S68" s="25">
        <v>0.78</v>
      </c>
      <c r="T68" s="25">
        <v>0.74</v>
      </c>
      <c r="U68" s="25">
        <v>0.54</v>
      </c>
      <c r="V68" s="25">
        <v>0.55000000000000004</v>
      </c>
      <c r="W68" s="25">
        <v>0.09</v>
      </c>
      <c r="X68" s="25">
        <v>0.73</v>
      </c>
      <c r="Y68" s="25">
        <v>0.57999999999999996</v>
      </c>
      <c r="Z68" s="25">
        <v>0.34</v>
      </c>
      <c r="AA68" s="25">
        <v>0.76</v>
      </c>
      <c r="AB68" s="25">
        <v>0.14000000000000001</v>
      </c>
      <c r="AC68" s="25">
        <v>0.67</v>
      </c>
      <c r="AD68" s="25">
        <v>0.51</v>
      </c>
      <c r="AE68" s="25">
        <v>0.84</v>
      </c>
      <c r="AF68" s="25">
        <v>0.73</v>
      </c>
      <c r="AG68" s="25">
        <v>0.27</v>
      </c>
      <c r="AH68" s="25">
        <v>0.13</v>
      </c>
      <c r="AI68" s="25">
        <v>0.43</v>
      </c>
      <c r="AJ68" s="25">
        <v>0.09</v>
      </c>
      <c r="AK68" s="25">
        <v>0.14000000000000001</v>
      </c>
      <c r="AL68" s="25">
        <v>0.35</v>
      </c>
      <c r="AM68" s="25">
        <v>0.02</v>
      </c>
      <c r="AN68" s="25">
        <v>0</v>
      </c>
      <c r="AO68" s="25">
        <v>0.44</v>
      </c>
      <c r="AP68" s="25">
        <v>0</v>
      </c>
      <c r="AQ68" s="25">
        <v>0</v>
      </c>
      <c r="AR68" s="25">
        <v>0.21</v>
      </c>
      <c r="AS68" s="25">
        <v>0.8</v>
      </c>
      <c r="AT68" s="25">
        <v>0</v>
      </c>
      <c r="AU68" s="25">
        <v>0.17</v>
      </c>
      <c r="AV68" s="25">
        <v>0</v>
      </c>
      <c r="AW68" s="25">
        <v>0</v>
      </c>
      <c r="AX68" s="25">
        <v>0</v>
      </c>
      <c r="AY68" s="25">
        <v>0.1</v>
      </c>
      <c r="AZ68" s="25">
        <v>7.0000000000000007E-2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0.32</v>
      </c>
      <c r="BI68" s="25">
        <v>0</v>
      </c>
      <c r="BJ68" s="25">
        <v>0.53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0.22</v>
      </c>
      <c r="BR68" s="25">
        <v>0.34</v>
      </c>
      <c r="BS68" s="25">
        <v>0</v>
      </c>
      <c r="BT68" s="25">
        <v>0</v>
      </c>
      <c r="BU68" s="25">
        <v>0</v>
      </c>
      <c r="BV68" s="25">
        <v>0</v>
      </c>
      <c r="BW68" s="25">
        <v>0.36</v>
      </c>
      <c r="BX68" s="25">
        <v>0</v>
      </c>
      <c r="BY68" s="25">
        <v>0</v>
      </c>
      <c r="BZ68" s="25">
        <v>0</v>
      </c>
      <c r="CA68" s="25">
        <v>0</v>
      </c>
      <c r="CB68" s="25">
        <v>0</v>
      </c>
      <c r="CC68" s="25">
        <v>0</v>
      </c>
      <c r="CD68" s="25">
        <v>0</v>
      </c>
      <c r="CE68" s="25">
        <v>0.37</v>
      </c>
      <c r="CF68" s="25">
        <v>0</v>
      </c>
      <c r="CG68" s="25">
        <v>0</v>
      </c>
      <c r="CH68" s="25">
        <v>0.28999999999999998</v>
      </c>
      <c r="CI68" s="25">
        <v>0</v>
      </c>
      <c r="CJ68" s="25">
        <v>0.59</v>
      </c>
      <c r="CK68" s="25">
        <v>0</v>
      </c>
      <c r="CL68" s="25">
        <v>0</v>
      </c>
      <c r="CM68" s="25">
        <v>0</v>
      </c>
      <c r="CN68" s="25">
        <v>0</v>
      </c>
      <c r="CO68" s="25">
        <v>0.24</v>
      </c>
      <c r="CP68" s="25">
        <v>0.13</v>
      </c>
      <c r="CQ68" s="25">
        <v>0</v>
      </c>
      <c r="CR68" s="25">
        <v>0.54</v>
      </c>
      <c r="CS68" s="25">
        <v>0.8</v>
      </c>
      <c r="CT68" s="25">
        <v>0.09</v>
      </c>
      <c r="DO68" s="25">
        <v>0</v>
      </c>
      <c r="DP68" s="25">
        <v>0</v>
      </c>
      <c r="DQ68" s="25">
        <v>0</v>
      </c>
      <c r="DS68" s="25">
        <v>0</v>
      </c>
      <c r="DT68" s="25">
        <v>0</v>
      </c>
      <c r="DV68" s="25">
        <v>0</v>
      </c>
    </row>
    <row r="69" spans="1:128" x14ac:dyDescent="0.25">
      <c r="A69" s="25" t="s">
        <v>587</v>
      </c>
      <c r="B69" s="25">
        <v>47</v>
      </c>
      <c r="C69" s="25">
        <v>2014</v>
      </c>
      <c r="D69" s="25" t="s">
        <v>451</v>
      </c>
      <c r="E69" s="25" t="s">
        <v>360</v>
      </c>
      <c r="F69" s="25" t="s">
        <v>452</v>
      </c>
      <c r="G69" s="25" t="s">
        <v>591</v>
      </c>
      <c r="H69" s="25">
        <v>1</v>
      </c>
      <c r="I69" s="25">
        <v>160</v>
      </c>
      <c r="L69" s="25">
        <v>0</v>
      </c>
      <c r="M69" s="25">
        <v>5</v>
      </c>
      <c r="N69" s="25">
        <v>3</v>
      </c>
      <c r="O69" s="25">
        <v>0</v>
      </c>
      <c r="P69" s="25">
        <v>1</v>
      </c>
      <c r="Q69" s="25">
        <v>1</v>
      </c>
      <c r="R69" s="25" t="s">
        <v>630</v>
      </c>
      <c r="S69" s="25">
        <v>0.86199999999999999</v>
      </c>
      <c r="T69" s="25">
        <v>0</v>
      </c>
      <c r="U69" s="25">
        <v>0.61599999999999999</v>
      </c>
      <c r="V69" s="25">
        <v>0</v>
      </c>
      <c r="W69" s="25">
        <v>0</v>
      </c>
      <c r="X69" s="25">
        <v>0.71899999999999997</v>
      </c>
      <c r="Y69" s="25">
        <v>0.79100000000000004</v>
      </c>
      <c r="Z69" s="25">
        <v>0</v>
      </c>
      <c r="AA69" s="25">
        <v>0.88300000000000001</v>
      </c>
      <c r="AB69" s="25">
        <v>0</v>
      </c>
      <c r="AC69" s="25">
        <v>0</v>
      </c>
      <c r="AD69" s="25">
        <v>0</v>
      </c>
      <c r="AE69" s="25">
        <v>0.64900000000000002</v>
      </c>
      <c r="AF69" s="25">
        <v>0.68799999999999994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0.86199999999999999</v>
      </c>
      <c r="AO69" s="25">
        <v>0</v>
      </c>
      <c r="AP69" s="25">
        <v>0.84899999999999998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0.82099999999999995</v>
      </c>
      <c r="AX69" s="25">
        <v>0.67400000000000004</v>
      </c>
      <c r="AY69" s="25">
        <v>0</v>
      </c>
      <c r="AZ69" s="25">
        <v>0</v>
      </c>
      <c r="BA69" s="25">
        <v>0</v>
      </c>
      <c r="BB69" s="25">
        <v>0</v>
      </c>
      <c r="BC69" s="25">
        <v>0.72499999999999998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25">
        <v>0.68200000000000005</v>
      </c>
      <c r="BL69" s="25">
        <v>0</v>
      </c>
      <c r="BM69" s="25">
        <v>0</v>
      </c>
      <c r="BN69" s="25">
        <v>0.76600000000000001</v>
      </c>
      <c r="BO69" s="25">
        <v>0</v>
      </c>
      <c r="BP69" s="25">
        <v>0.627</v>
      </c>
      <c r="BQ69" s="25">
        <v>0</v>
      </c>
      <c r="BR69" s="25">
        <v>0</v>
      </c>
      <c r="BS69" s="25">
        <v>0</v>
      </c>
      <c r="BT69" s="25">
        <v>0</v>
      </c>
      <c r="BU69" s="25">
        <v>0.85099999999999998</v>
      </c>
      <c r="BV69" s="25">
        <v>0.88600000000000001</v>
      </c>
      <c r="BW69" s="25">
        <v>0</v>
      </c>
      <c r="BX69" s="25">
        <v>0.60699999999999998</v>
      </c>
      <c r="BY69" s="25">
        <v>0.67100000000000004</v>
      </c>
      <c r="BZ69" s="25">
        <v>0.70399999999999996</v>
      </c>
      <c r="DO69" s="25">
        <v>0</v>
      </c>
      <c r="DP69" s="25">
        <v>0</v>
      </c>
      <c r="DS69" s="25">
        <v>0</v>
      </c>
    </row>
    <row r="70" spans="1:128" x14ac:dyDescent="0.25">
      <c r="A70" s="25" t="s">
        <v>588</v>
      </c>
      <c r="B70" s="25">
        <v>47</v>
      </c>
      <c r="C70" s="25">
        <v>2014</v>
      </c>
      <c r="D70" s="25" t="s">
        <v>451</v>
      </c>
      <c r="E70" s="25" t="s">
        <v>360</v>
      </c>
      <c r="F70" s="25" t="s">
        <v>452</v>
      </c>
      <c r="G70" s="25" t="s">
        <v>589</v>
      </c>
      <c r="H70" s="25">
        <v>1</v>
      </c>
      <c r="I70" s="25">
        <v>160</v>
      </c>
      <c r="L70" s="25">
        <v>0</v>
      </c>
      <c r="M70" s="25">
        <v>5</v>
      </c>
      <c r="N70" s="25">
        <v>3</v>
      </c>
      <c r="O70" s="25">
        <v>0</v>
      </c>
      <c r="P70" s="25">
        <v>1</v>
      </c>
      <c r="Q70" s="25">
        <v>1</v>
      </c>
      <c r="S70" s="25">
        <v>0.93799999999999994</v>
      </c>
      <c r="T70" s="25">
        <v>0</v>
      </c>
      <c r="U70" s="25">
        <v>0.55900000000000005</v>
      </c>
      <c r="V70" s="25">
        <v>0</v>
      </c>
      <c r="W70" s="25">
        <v>0</v>
      </c>
      <c r="X70" s="25">
        <v>0.90700000000000003</v>
      </c>
      <c r="Y70" s="25">
        <v>0.93100000000000005</v>
      </c>
      <c r="Z70" s="25">
        <v>0</v>
      </c>
      <c r="AA70" s="25">
        <v>0.71899999999999997</v>
      </c>
      <c r="AB70" s="25">
        <v>0</v>
      </c>
      <c r="AC70" s="25">
        <v>0</v>
      </c>
      <c r="AD70" s="25">
        <v>0</v>
      </c>
      <c r="AE70" s="25">
        <v>0.73199999999999998</v>
      </c>
      <c r="AF70" s="25">
        <v>0.91300000000000003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0.88600000000000001</v>
      </c>
      <c r="AO70" s="25">
        <v>0</v>
      </c>
      <c r="AP70" s="25">
        <v>0.73899999999999999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0.82199999999999995</v>
      </c>
      <c r="AX70" s="25">
        <v>0.79300000000000004</v>
      </c>
      <c r="AY70" s="25">
        <v>0</v>
      </c>
      <c r="AZ70" s="25">
        <v>0</v>
      </c>
      <c r="BA70" s="25">
        <v>0</v>
      </c>
      <c r="BB70" s="25">
        <v>0</v>
      </c>
      <c r="BC70" s="25">
        <v>0.77300000000000002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0.95399999999999996</v>
      </c>
      <c r="BL70" s="25">
        <v>0</v>
      </c>
      <c r="BM70" s="25">
        <v>0</v>
      </c>
      <c r="BN70" s="25">
        <v>0.73199999999999998</v>
      </c>
      <c r="BO70" s="25">
        <v>0</v>
      </c>
      <c r="BP70" s="25">
        <v>0.77600000000000002</v>
      </c>
      <c r="BQ70" s="25">
        <v>0</v>
      </c>
      <c r="BR70" s="25">
        <v>0</v>
      </c>
      <c r="BS70" s="25">
        <v>0</v>
      </c>
      <c r="BT70" s="25">
        <v>0</v>
      </c>
      <c r="BU70" s="25">
        <v>0.96599999999999997</v>
      </c>
      <c r="BV70" s="25">
        <v>0.873</v>
      </c>
      <c r="BW70" s="25">
        <v>0</v>
      </c>
      <c r="BX70" s="25">
        <v>0.63700000000000001</v>
      </c>
      <c r="BY70" s="25">
        <v>0.66500000000000004</v>
      </c>
      <c r="BZ70" s="25">
        <v>0.84799999999999998</v>
      </c>
      <c r="DO70" s="25">
        <v>0</v>
      </c>
      <c r="DP70" s="25">
        <v>0</v>
      </c>
      <c r="DS70" s="25">
        <v>0</v>
      </c>
    </row>
    <row r="71" spans="1:128" x14ac:dyDescent="0.25">
      <c r="A71" s="25" t="s">
        <v>545</v>
      </c>
      <c r="B71" s="25">
        <v>48</v>
      </c>
      <c r="C71" s="25">
        <v>2015</v>
      </c>
      <c r="D71" s="25" t="s">
        <v>8</v>
      </c>
      <c r="E71" s="25" t="s">
        <v>373</v>
      </c>
      <c r="F71" s="25" t="s">
        <v>11</v>
      </c>
      <c r="G71" s="25" t="s">
        <v>547</v>
      </c>
      <c r="H71" s="25">
        <v>1</v>
      </c>
      <c r="I71" s="25">
        <f>806/2</f>
        <v>403</v>
      </c>
      <c r="J71" s="28">
        <v>63.5</v>
      </c>
      <c r="K71" s="29">
        <v>42.33</v>
      </c>
      <c r="L71" s="25">
        <v>1</v>
      </c>
      <c r="M71" s="25">
        <v>5</v>
      </c>
      <c r="N71" s="25">
        <v>5</v>
      </c>
      <c r="O71" s="25">
        <v>0</v>
      </c>
      <c r="P71" s="25">
        <v>3</v>
      </c>
      <c r="Q71" s="25">
        <v>2</v>
      </c>
      <c r="R71" s="25" t="s">
        <v>548</v>
      </c>
      <c r="S71" s="25">
        <v>0.8</v>
      </c>
      <c r="T71" s="25">
        <v>0</v>
      </c>
      <c r="U71" s="25">
        <v>0.42</v>
      </c>
      <c r="V71" s="25">
        <v>0</v>
      </c>
      <c r="W71" s="25">
        <v>0</v>
      </c>
      <c r="X71" s="25">
        <v>0.67</v>
      </c>
      <c r="Y71" s="25">
        <v>0.53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0.68</v>
      </c>
      <c r="AF71" s="25">
        <v>0.66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0.79</v>
      </c>
      <c r="AO71" s="25">
        <v>0</v>
      </c>
      <c r="AP71" s="25">
        <v>0.52</v>
      </c>
      <c r="AQ71" s="25">
        <v>0</v>
      </c>
      <c r="AR71" s="25">
        <v>0</v>
      </c>
      <c r="AS71" s="25">
        <v>0</v>
      </c>
      <c r="AT71" s="25">
        <v>0</v>
      </c>
      <c r="AU71" s="25">
        <v>0.78</v>
      </c>
      <c r="AV71" s="25">
        <v>0</v>
      </c>
      <c r="AW71" s="25">
        <v>0.6</v>
      </c>
      <c r="AX71" s="25">
        <v>0.48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0.79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0.43</v>
      </c>
      <c r="BY71" s="25">
        <v>0.62</v>
      </c>
      <c r="BZ71" s="25">
        <v>0</v>
      </c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  <c r="CI71" s="25">
        <v>0</v>
      </c>
      <c r="CJ71" s="25">
        <v>0</v>
      </c>
      <c r="CK71" s="25">
        <v>0</v>
      </c>
      <c r="CL71" s="25">
        <v>0</v>
      </c>
      <c r="CM71" s="25">
        <v>0</v>
      </c>
      <c r="CN71" s="25">
        <v>0</v>
      </c>
      <c r="CO71" s="25">
        <v>0.57999999999999996</v>
      </c>
      <c r="CP71" s="25">
        <v>0.26</v>
      </c>
      <c r="CQ71" s="25">
        <v>0.76</v>
      </c>
      <c r="CR71" s="25">
        <v>0</v>
      </c>
      <c r="CS71" s="25">
        <v>0</v>
      </c>
      <c r="CT71" s="25">
        <v>0.24</v>
      </c>
      <c r="CU71" s="25">
        <v>0</v>
      </c>
      <c r="CV71" s="25">
        <v>0</v>
      </c>
      <c r="CW71" s="25">
        <v>0</v>
      </c>
      <c r="CX71" s="25">
        <v>0</v>
      </c>
      <c r="CY71" s="25">
        <v>0.46</v>
      </c>
      <c r="CZ71" s="25">
        <v>0</v>
      </c>
      <c r="DA71" s="25">
        <v>0</v>
      </c>
      <c r="DB71" s="25">
        <v>0.63</v>
      </c>
      <c r="DC71" s="25">
        <v>0</v>
      </c>
      <c r="DD71" s="25">
        <v>0</v>
      </c>
      <c r="DE71" s="25">
        <v>0</v>
      </c>
      <c r="DF71" s="25">
        <v>0</v>
      </c>
      <c r="DG71" s="25">
        <v>0</v>
      </c>
      <c r="DH71" s="25">
        <v>0</v>
      </c>
      <c r="DI71" s="25">
        <v>0</v>
      </c>
      <c r="DJ71" s="25">
        <v>0</v>
      </c>
      <c r="DK71" s="25">
        <v>0</v>
      </c>
      <c r="DL71" s="25">
        <v>0</v>
      </c>
      <c r="DM71" s="25">
        <v>0</v>
      </c>
      <c r="DN71" s="25">
        <v>0</v>
      </c>
      <c r="DO71" s="25">
        <v>0.94</v>
      </c>
      <c r="DP71" s="25">
        <v>-0.05</v>
      </c>
      <c r="DQ71" s="25">
        <v>0.49</v>
      </c>
      <c r="DR71" s="25">
        <v>0.3</v>
      </c>
      <c r="DS71" s="25">
        <v>-0.02</v>
      </c>
      <c r="DT71" s="25">
        <v>0.66</v>
      </c>
      <c r="DU71" s="25">
        <v>0.46</v>
      </c>
      <c r="DV71" s="25">
        <v>0.28999999999999998</v>
      </c>
      <c r="DW71" s="25">
        <v>0.34</v>
      </c>
      <c r="DX71" s="25">
        <v>0.55000000000000004</v>
      </c>
    </row>
    <row r="72" spans="1:128" x14ac:dyDescent="0.25">
      <c r="A72" s="25" t="s">
        <v>595</v>
      </c>
      <c r="B72" s="25">
        <v>49</v>
      </c>
      <c r="C72" s="25">
        <v>2016</v>
      </c>
      <c r="D72" s="25" t="s">
        <v>599</v>
      </c>
      <c r="E72" s="25" t="s">
        <v>459</v>
      </c>
      <c r="F72" s="25" t="s">
        <v>449</v>
      </c>
      <c r="G72" s="25" t="s">
        <v>600</v>
      </c>
      <c r="H72" s="25">
        <v>3</v>
      </c>
      <c r="I72" s="25">
        <v>225</v>
      </c>
      <c r="J72" s="28">
        <v>55.3</v>
      </c>
      <c r="K72" s="25">
        <v>15.5</v>
      </c>
      <c r="L72" s="25">
        <v>0</v>
      </c>
      <c r="M72" s="25">
        <v>5</v>
      </c>
      <c r="N72" s="25">
        <v>3</v>
      </c>
      <c r="O72" s="25">
        <v>1</v>
      </c>
      <c r="P72" s="25">
        <v>3</v>
      </c>
      <c r="Q72" s="25">
        <v>2</v>
      </c>
      <c r="R72" s="25" t="s">
        <v>617</v>
      </c>
      <c r="S72" s="25">
        <v>0.59</v>
      </c>
      <c r="T72" s="25">
        <v>0</v>
      </c>
      <c r="U72" s="25">
        <v>0.4</v>
      </c>
      <c r="V72" s="25">
        <v>0</v>
      </c>
      <c r="W72" s="25">
        <v>0</v>
      </c>
      <c r="X72" s="25">
        <v>0.5</v>
      </c>
      <c r="Y72" s="25">
        <v>0.59</v>
      </c>
      <c r="Z72" s="25">
        <v>0</v>
      </c>
      <c r="AA72" s="25">
        <v>0.6</v>
      </c>
      <c r="AB72" s="25">
        <v>0</v>
      </c>
      <c r="AC72" s="25">
        <v>0</v>
      </c>
      <c r="AD72" s="25">
        <v>0</v>
      </c>
      <c r="AE72" s="25">
        <v>0.59</v>
      </c>
      <c r="AF72" s="25">
        <v>0.51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0.65</v>
      </c>
      <c r="AO72" s="25">
        <v>0</v>
      </c>
      <c r="AP72" s="25">
        <v>0.27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0.35</v>
      </c>
      <c r="AX72" s="25">
        <v>0.18</v>
      </c>
      <c r="AY72" s="25">
        <v>0</v>
      </c>
      <c r="AZ72" s="25">
        <v>0</v>
      </c>
      <c r="BA72" s="25">
        <v>0</v>
      </c>
      <c r="BB72" s="25">
        <v>0</v>
      </c>
      <c r="BC72" s="25">
        <v>0.45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0.41</v>
      </c>
      <c r="BL72" s="25">
        <v>0</v>
      </c>
      <c r="BM72" s="25">
        <v>0</v>
      </c>
      <c r="BN72" s="25">
        <v>0.08</v>
      </c>
      <c r="BO72" s="25">
        <v>0</v>
      </c>
      <c r="BP72" s="25">
        <v>0.39</v>
      </c>
      <c r="BQ72" s="25">
        <v>0</v>
      </c>
      <c r="BR72" s="25">
        <v>0</v>
      </c>
      <c r="BS72" s="25">
        <v>0</v>
      </c>
      <c r="BT72" s="25">
        <v>0</v>
      </c>
      <c r="BU72" s="25">
        <v>0.16</v>
      </c>
      <c r="BV72" s="25">
        <v>0.35</v>
      </c>
      <c r="BW72" s="25">
        <v>0</v>
      </c>
      <c r="BX72" s="25">
        <v>0.23</v>
      </c>
      <c r="BY72" s="25">
        <v>0.45</v>
      </c>
      <c r="BZ72" s="25">
        <v>0.04</v>
      </c>
      <c r="DO72" s="25">
        <v>0.84</v>
      </c>
      <c r="DP72" s="25">
        <v>0.05</v>
      </c>
      <c r="DS72" s="25">
        <v>0.02</v>
      </c>
    </row>
    <row r="73" spans="1:128" x14ac:dyDescent="0.25">
      <c r="A73" s="25" t="s">
        <v>450</v>
      </c>
      <c r="B73" s="25">
        <v>50</v>
      </c>
      <c r="C73" s="25">
        <v>2017</v>
      </c>
      <c r="D73" s="25" t="s">
        <v>451</v>
      </c>
      <c r="E73" s="25" t="s">
        <v>360</v>
      </c>
      <c r="F73" s="25" t="s">
        <v>452</v>
      </c>
      <c r="G73" s="25" t="s">
        <v>453</v>
      </c>
      <c r="H73" s="25">
        <v>1</v>
      </c>
      <c r="I73" s="25">
        <f xml:space="preserve"> 509 + 439</f>
        <v>948</v>
      </c>
      <c r="J73" s="28">
        <f>509/ (509 + 439)*100</f>
        <v>53.691983122362871</v>
      </c>
      <c r="K73" s="29">
        <v>14.54</v>
      </c>
      <c r="L73" s="25">
        <v>0</v>
      </c>
      <c r="M73" s="25">
        <v>5</v>
      </c>
      <c r="N73" s="25">
        <v>3</v>
      </c>
      <c r="O73" s="25">
        <v>1</v>
      </c>
      <c r="P73" s="25">
        <v>3</v>
      </c>
      <c r="Q73" s="25">
        <v>2</v>
      </c>
      <c r="S73" s="25">
        <v>0.67</v>
      </c>
      <c r="T73" s="25">
        <v>0</v>
      </c>
      <c r="U73" s="25">
        <v>0.48</v>
      </c>
      <c r="V73" s="25">
        <v>0</v>
      </c>
      <c r="W73" s="25">
        <v>0</v>
      </c>
      <c r="X73" s="25">
        <v>0.56999999999999995</v>
      </c>
      <c r="Y73" s="25">
        <v>0.6</v>
      </c>
      <c r="Z73" s="25">
        <v>0</v>
      </c>
      <c r="AA73" s="25">
        <v>0.73</v>
      </c>
      <c r="AB73" s="25">
        <v>0</v>
      </c>
      <c r="AC73" s="25">
        <v>0</v>
      </c>
      <c r="AD73" s="25">
        <v>0</v>
      </c>
      <c r="AE73" s="25">
        <v>0.75</v>
      </c>
      <c r="AF73" s="25">
        <v>0.56999999999999995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0.73</v>
      </c>
      <c r="AO73" s="25">
        <v>0</v>
      </c>
      <c r="AP73" s="25">
        <v>0.69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0.54</v>
      </c>
      <c r="AX73" s="25">
        <v>0.23</v>
      </c>
      <c r="AY73" s="25">
        <v>0</v>
      </c>
      <c r="AZ73" s="25">
        <v>0</v>
      </c>
      <c r="BA73" s="25">
        <v>0</v>
      </c>
      <c r="BB73" s="25">
        <v>0</v>
      </c>
      <c r="BC73" s="25">
        <v>0.54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0.59</v>
      </c>
      <c r="BL73" s="25">
        <v>0</v>
      </c>
      <c r="BM73" s="25">
        <v>0</v>
      </c>
      <c r="BN73" s="25">
        <v>0.39</v>
      </c>
      <c r="BO73" s="25">
        <v>0</v>
      </c>
      <c r="BP73" s="25">
        <v>0.28999999999999998</v>
      </c>
      <c r="BQ73" s="25">
        <v>0</v>
      </c>
      <c r="BR73" s="25">
        <v>0</v>
      </c>
      <c r="BS73" s="25">
        <v>0</v>
      </c>
      <c r="BT73" s="25">
        <v>0</v>
      </c>
      <c r="BU73" s="25">
        <v>0.06</v>
      </c>
      <c r="BV73" s="25">
        <v>-7.0000000000000007E-2</v>
      </c>
      <c r="BW73" s="25">
        <v>0</v>
      </c>
      <c r="BX73" s="25">
        <v>0.25</v>
      </c>
      <c r="BY73" s="25">
        <v>0.32</v>
      </c>
      <c r="BZ73" s="25">
        <v>0.12</v>
      </c>
      <c r="DO73" s="25">
        <v>0.68</v>
      </c>
      <c r="DP73" s="25">
        <v>0.19</v>
      </c>
      <c r="DS73" s="25">
        <v>0.24</v>
      </c>
    </row>
    <row r="74" spans="1:128" x14ac:dyDescent="0.25">
      <c r="A74" s="25" t="s">
        <v>523</v>
      </c>
      <c r="B74" s="25">
        <v>51</v>
      </c>
      <c r="C74" s="25">
        <v>2017</v>
      </c>
      <c r="D74" s="25" t="s">
        <v>446</v>
      </c>
      <c r="E74" s="25" t="s">
        <v>590</v>
      </c>
      <c r="F74" s="25" t="s">
        <v>445</v>
      </c>
      <c r="G74" s="25" t="s">
        <v>447</v>
      </c>
      <c r="H74" s="25">
        <v>1</v>
      </c>
      <c r="I74" s="25">
        <v>2200</v>
      </c>
      <c r="J74" s="28">
        <f>1560/2200*100</f>
        <v>70.909090909090907</v>
      </c>
      <c r="K74" s="29">
        <v>18.8</v>
      </c>
      <c r="L74" s="25">
        <v>0</v>
      </c>
      <c r="M74" s="25">
        <v>5</v>
      </c>
      <c r="N74" s="25">
        <v>3</v>
      </c>
      <c r="O74" s="25">
        <v>1</v>
      </c>
      <c r="P74" s="25">
        <v>3</v>
      </c>
      <c r="Q74" s="25">
        <v>2</v>
      </c>
      <c r="S74" s="25">
        <v>0.57999999999999996</v>
      </c>
      <c r="T74" s="25">
        <v>0</v>
      </c>
      <c r="U74" s="25">
        <v>0.4</v>
      </c>
      <c r="V74" s="25">
        <v>0</v>
      </c>
      <c r="W74" s="25">
        <v>0</v>
      </c>
      <c r="X74" s="25">
        <v>0.55000000000000004</v>
      </c>
      <c r="Y74" s="25">
        <v>0.52</v>
      </c>
      <c r="Z74" s="25">
        <v>0</v>
      </c>
      <c r="AA74" s="25">
        <v>0.62</v>
      </c>
      <c r="AB74" s="25">
        <v>0</v>
      </c>
      <c r="AC74" s="25">
        <v>0</v>
      </c>
      <c r="AD74" s="25">
        <v>0</v>
      </c>
      <c r="AE74" s="25">
        <v>0.63</v>
      </c>
      <c r="AF74" s="25">
        <v>0.53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0.61</v>
      </c>
      <c r="AO74" s="25">
        <v>0</v>
      </c>
      <c r="AP74" s="25">
        <v>0.32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0.51</v>
      </c>
      <c r="AX74" s="25">
        <v>0.18</v>
      </c>
      <c r="AY74" s="25">
        <v>0</v>
      </c>
      <c r="AZ74" s="25">
        <v>0</v>
      </c>
      <c r="BA74" s="25">
        <v>0</v>
      </c>
      <c r="BB74" s="25">
        <v>0</v>
      </c>
      <c r="BC74" s="25">
        <v>0.33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0.45</v>
      </c>
      <c r="BL74" s="25">
        <v>0</v>
      </c>
      <c r="BM74" s="25">
        <v>0</v>
      </c>
      <c r="BN74" s="25">
        <v>-0.14000000000000001</v>
      </c>
      <c r="BO74" s="25">
        <v>0</v>
      </c>
      <c r="BP74" s="25">
        <v>0.56999999999999995</v>
      </c>
      <c r="BQ74" s="25">
        <v>0</v>
      </c>
      <c r="BR74" s="25">
        <v>0</v>
      </c>
      <c r="BS74" s="25">
        <v>0</v>
      </c>
      <c r="BT74" s="25">
        <v>0</v>
      </c>
      <c r="BU74" s="25">
        <v>0.1</v>
      </c>
      <c r="BV74" s="25">
        <v>0.14000000000000001</v>
      </c>
      <c r="BW74" s="25">
        <v>0</v>
      </c>
      <c r="BX74" s="25">
        <v>0.34</v>
      </c>
      <c r="BY74" s="25">
        <v>0.63</v>
      </c>
      <c r="BZ74" s="25">
        <v>0.03</v>
      </c>
      <c r="DO74" s="25">
        <v>0.91</v>
      </c>
      <c r="DP74" s="25">
        <v>0.1</v>
      </c>
      <c r="DS74" s="25">
        <v>-0.03</v>
      </c>
    </row>
    <row r="75" spans="1:128" x14ac:dyDescent="0.25">
      <c r="A75" s="25" t="s">
        <v>448</v>
      </c>
      <c r="B75" s="25">
        <v>51</v>
      </c>
      <c r="C75" s="25">
        <v>2017</v>
      </c>
      <c r="D75" s="25" t="s">
        <v>363</v>
      </c>
      <c r="E75" s="25" t="s">
        <v>372</v>
      </c>
      <c r="F75" s="25" t="s">
        <v>362</v>
      </c>
      <c r="G75" s="25" t="s">
        <v>447</v>
      </c>
      <c r="H75" s="25">
        <v>1</v>
      </c>
      <c r="I75" s="25">
        <v>2221</v>
      </c>
      <c r="J75" s="28">
        <f>1383/2221*100</f>
        <v>62.269248086447547</v>
      </c>
      <c r="K75" s="29">
        <v>20.9</v>
      </c>
      <c r="L75" s="25">
        <v>0</v>
      </c>
      <c r="M75" s="25">
        <v>5</v>
      </c>
      <c r="N75" s="25">
        <v>3</v>
      </c>
      <c r="O75" s="25">
        <v>1</v>
      </c>
      <c r="P75" s="25">
        <v>3</v>
      </c>
      <c r="Q75" s="25">
        <v>2</v>
      </c>
      <c r="S75" s="25">
        <v>0.7</v>
      </c>
      <c r="T75" s="25">
        <v>0</v>
      </c>
      <c r="U75" s="25">
        <v>0.3</v>
      </c>
      <c r="V75" s="25">
        <v>0</v>
      </c>
      <c r="W75" s="25">
        <v>0</v>
      </c>
      <c r="X75" s="25">
        <v>0.65</v>
      </c>
      <c r="Y75" s="25">
        <v>0.13</v>
      </c>
      <c r="Z75" s="25">
        <v>0</v>
      </c>
      <c r="AA75" s="25">
        <v>0.76</v>
      </c>
      <c r="AB75" s="25">
        <v>0</v>
      </c>
      <c r="AC75" s="25">
        <v>0</v>
      </c>
      <c r="AD75" s="25">
        <v>0</v>
      </c>
      <c r="AE75" s="25">
        <v>0.71</v>
      </c>
      <c r="AF75" s="25">
        <v>0.49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0.76</v>
      </c>
      <c r="AO75" s="25">
        <v>0</v>
      </c>
      <c r="AP75" s="25">
        <v>0.69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0.57999999999999996</v>
      </c>
      <c r="AX75" s="25">
        <v>0.49</v>
      </c>
      <c r="AY75" s="25">
        <v>0</v>
      </c>
      <c r="AZ75" s="25">
        <v>0</v>
      </c>
      <c r="BA75" s="25">
        <v>0</v>
      </c>
      <c r="BB75" s="25">
        <v>0</v>
      </c>
      <c r="BC75" s="25">
        <v>0.56999999999999995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0.21</v>
      </c>
      <c r="BL75" s="25">
        <v>0</v>
      </c>
      <c r="BM75" s="25">
        <v>0</v>
      </c>
      <c r="BN75" s="25">
        <v>0.22</v>
      </c>
      <c r="BO75" s="25">
        <v>0</v>
      </c>
      <c r="BP75" s="25">
        <v>0.69</v>
      </c>
      <c r="BQ75" s="25">
        <v>0</v>
      </c>
      <c r="BR75" s="25">
        <v>0</v>
      </c>
      <c r="BS75" s="25">
        <v>0</v>
      </c>
      <c r="BT75" s="25">
        <v>0</v>
      </c>
      <c r="BU75" s="25">
        <v>0.49</v>
      </c>
      <c r="BV75" s="25">
        <v>0.17</v>
      </c>
      <c r="BW75" s="25">
        <v>0</v>
      </c>
      <c r="BX75" s="25">
        <v>0.38</v>
      </c>
      <c r="BY75" s="25">
        <v>0.64</v>
      </c>
      <c r="BZ75" s="25">
        <v>0.21</v>
      </c>
      <c r="DO75" s="25">
        <v>0.77300000000000002</v>
      </c>
      <c r="DP75" s="25">
        <v>0.106</v>
      </c>
      <c r="DS75" s="25">
        <v>0.42599999999999999</v>
      </c>
    </row>
    <row r="76" spans="1:128" x14ac:dyDescent="0.25">
      <c r="A76" s="25" t="s">
        <v>469</v>
      </c>
      <c r="B76" s="25">
        <v>52</v>
      </c>
      <c r="C76" s="25">
        <v>2018</v>
      </c>
      <c r="D76" s="25" t="s">
        <v>466</v>
      </c>
      <c r="E76" s="25" t="s">
        <v>466</v>
      </c>
      <c r="F76" s="25" t="s">
        <v>362</v>
      </c>
      <c r="G76" s="25" t="s">
        <v>467</v>
      </c>
      <c r="H76" s="25">
        <v>1</v>
      </c>
      <c r="I76" s="25">
        <v>156</v>
      </c>
      <c r="J76" s="28">
        <v>71.2</v>
      </c>
      <c r="K76" s="25">
        <v>41.1</v>
      </c>
      <c r="L76" s="25">
        <v>1</v>
      </c>
      <c r="M76" s="25">
        <v>5</v>
      </c>
      <c r="N76" s="25">
        <v>4</v>
      </c>
      <c r="O76" s="25">
        <v>1</v>
      </c>
      <c r="P76" s="25">
        <v>3</v>
      </c>
      <c r="Q76" s="25">
        <v>2</v>
      </c>
      <c r="S76" s="25">
        <v>0.77</v>
      </c>
      <c r="T76" s="25">
        <v>0</v>
      </c>
      <c r="U76" s="25">
        <v>0.63600000000000001</v>
      </c>
      <c r="V76" s="25">
        <v>0</v>
      </c>
      <c r="W76" s="25">
        <v>0</v>
      </c>
      <c r="X76" s="25">
        <v>0.71</v>
      </c>
      <c r="Y76" s="25">
        <v>0.60799999999999998</v>
      </c>
      <c r="Z76" s="25">
        <v>0</v>
      </c>
      <c r="AA76" s="25">
        <v>0.81</v>
      </c>
      <c r="AB76" s="25">
        <v>0</v>
      </c>
      <c r="AC76" s="25">
        <v>0</v>
      </c>
      <c r="AD76" s="25">
        <v>0</v>
      </c>
      <c r="AE76" s="25">
        <v>0.73299999999999998</v>
      </c>
      <c r="AF76" s="25">
        <v>0.63600000000000001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0.79500000000000004</v>
      </c>
      <c r="AO76" s="25">
        <v>0</v>
      </c>
      <c r="AP76" s="25">
        <v>0.33700000000000002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0.71199999999999997</v>
      </c>
      <c r="AX76" s="25">
        <v>0.51300000000000001</v>
      </c>
      <c r="AY76" s="25">
        <v>0</v>
      </c>
      <c r="AZ76" s="25">
        <v>0</v>
      </c>
      <c r="BA76" s="25">
        <v>0</v>
      </c>
      <c r="BB76" s="25">
        <v>0</v>
      </c>
      <c r="BC76" s="25">
        <v>0.65400000000000003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0.28000000000000003</v>
      </c>
      <c r="BL76" s="25">
        <v>0</v>
      </c>
      <c r="BM76" s="25">
        <v>0</v>
      </c>
      <c r="BN76" s="25">
        <v>0.55100000000000005</v>
      </c>
      <c r="BO76" s="25">
        <v>0</v>
      </c>
      <c r="BP76" s="25">
        <v>0</v>
      </c>
      <c r="BQ76" s="25">
        <v>0</v>
      </c>
      <c r="BR76" s="25">
        <v>0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0.32200000000000001</v>
      </c>
      <c r="CA76" s="25">
        <v>0</v>
      </c>
      <c r="CB76" s="25">
        <v>0</v>
      </c>
      <c r="CC76" s="25">
        <v>0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0.35499999999999998</v>
      </c>
      <c r="CK76" s="25">
        <v>0</v>
      </c>
      <c r="CL76" s="25">
        <v>0</v>
      </c>
      <c r="CM76" s="25">
        <v>0</v>
      </c>
      <c r="CN76" s="25">
        <v>0</v>
      </c>
      <c r="CO76" s="25">
        <v>0.52800000000000002</v>
      </c>
      <c r="CP76" s="25">
        <v>0.22500000000000001</v>
      </c>
      <c r="CQ76" s="25">
        <v>0</v>
      </c>
      <c r="CR76" s="25">
        <v>0.61799999999999999</v>
      </c>
      <c r="CS76" s="25">
        <v>0.51800000000000002</v>
      </c>
      <c r="CT76" s="25">
        <v>0</v>
      </c>
      <c r="DO76" s="25">
        <v>0.877</v>
      </c>
      <c r="DP76" s="25">
        <v>0.54200000000000004</v>
      </c>
      <c r="DQ76" s="25">
        <v>0.246</v>
      </c>
      <c r="DS76" s="25">
        <v>0.61199999999999999</v>
      </c>
      <c r="DT76" s="25">
        <v>0.52800000000000002</v>
      </c>
      <c r="DV76" s="25">
        <v>0.81499999999999995</v>
      </c>
    </row>
    <row r="77" spans="1:128" x14ac:dyDescent="0.25">
      <c r="A77" s="25" t="s">
        <v>470</v>
      </c>
      <c r="B77" s="25">
        <v>52</v>
      </c>
      <c r="C77" s="25">
        <v>2018</v>
      </c>
      <c r="D77" s="25" t="s">
        <v>466</v>
      </c>
      <c r="E77" s="25" t="s">
        <v>466</v>
      </c>
      <c r="F77" s="25" t="s">
        <v>362</v>
      </c>
      <c r="G77" s="25" t="s">
        <v>463</v>
      </c>
      <c r="H77" s="25">
        <v>1</v>
      </c>
      <c r="I77" s="25">
        <v>428</v>
      </c>
      <c r="J77" s="28">
        <v>60.5</v>
      </c>
      <c r="K77" s="29">
        <v>41.62</v>
      </c>
      <c r="L77" s="25">
        <v>0</v>
      </c>
      <c r="M77" s="25">
        <v>5</v>
      </c>
      <c r="N77" s="25">
        <v>4</v>
      </c>
      <c r="O77" s="25">
        <v>1</v>
      </c>
      <c r="P77" s="25">
        <v>3</v>
      </c>
      <c r="Q77" s="25">
        <v>2</v>
      </c>
      <c r="S77" s="30">
        <v>0.76600000000000001</v>
      </c>
      <c r="T77" s="25">
        <v>0</v>
      </c>
      <c r="U77" s="25">
        <v>0.52600000000000002</v>
      </c>
      <c r="V77" s="25">
        <v>0</v>
      </c>
      <c r="W77" s="25">
        <v>0</v>
      </c>
      <c r="X77" s="25">
        <v>0.755</v>
      </c>
      <c r="Y77" s="25">
        <v>0.64700000000000002</v>
      </c>
      <c r="Z77" s="25">
        <v>0</v>
      </c>
      <c r="AA77" s="25">
        <v>0.77600000000000002</v>
      </c>
      <c r="AB77" s="25">
        <v>0</v>
      </c>
      <c r="AC77" s="25">
        <v>0</v>
      </c>
      <c r="AD77" s="25">
        <v>0</v>
      </c>
      <c r="AE77" s="25">
        <v>0.73699999999999999</v>
      </c>
      <c r="AF77" s="25">
        <v>0.67200000000000004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0.79400000000000004</v>
      </c>
      <c r="AO77" s="25">
        <v>0</v>
      </c>
      <c r="AP77" s="25">
        <v>0.69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0.73599999999999999</v>
      </c>
      <c r="AX77" s="25">
        <v>0.57099999999999995</v>
      </c>
      <c r="AY77" s="25">
        <v>0</v>
      </c>
      <c r="AZ77" s="25">
        <v>0</v>
      </c>
      <c r="BA77" s="25">
        <v>0</v>
      </c>
      <c r="BB77" s="25">
        <v>0</v>
      </c>
      <c r="BC77" s="25">
        <v>0.66300000000000003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0.23200000000000001</v>
      </c>
      <c r="BL77" s="25">
        <v>0</v>
      </c>
      <c r="BM77" s="25">
        <v>0</v>
      </c>
      <c r="BN77" s="25">
        <v>0.56499999999999995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0.371</v>
      </c>
      <c r="CA77" s="25">
        <v>0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0.63100000000000001</v>
      </c>
      <c r="CK77" s="25">
        <v>0</v>
      </c>
      <c r="CL77" s="25">
        <v>0</v>
      </c>
      <c r="CM77" s="25">
        <v>0</v>
      </c>
      <c r="CN77" s="25">
        <v>0</v>
      </c>
      <c r="CO77" s="25">
        <v>0.45100000000000001</v>
      </c>
      <c r="CP77" s="25">
        <v>0.34799999999999998</v>
      </c>
      <c r="CQ77" s="25">
        <v>0</v>
      </c>
      <c r="CR77" s="25">
        <v>0.35499999999999998</v>
      </c>
      <c r="CS77" s="25">
        <v>0.58299999999999996</v>
      </c>
      <c r="CT77" s="25">
        <v>0</v>
      </c>
      <c r="DO77" s="25">
        <v>0.72699999999999998</v>
      </c>
      <c r="DP77" s="25">
        <v>0.436</v>
      </c>
      <c r="DQ77" s="25">
        <v>0.42899999999999999</v>
      </c>
      <c r="DS77" s="25">
        <v>0.496</v>
      </c>
      <c r="DT77" s="25">
        <v>0.63700000000000001</v>
      </c>
      <c r="DV77" s="25">
        <v>0.878</v>
      </c>
    </row>
    <row r="78" spans="1:128" x14ac:dyDescent="0.25">
      <c r="A78" s="25" t="s">
        <v>532</v>
      </c>
      <c r="B78" s="25">
        <v>53</v>
      </c>
      <c r="C78" s="25">
        <v>2019</v>
      </c>
      <c r="D78" s="25" t="s">
        <v>534</v>
      </c>
      <c r="E78" s="25" t="s">
        <v>459</v>
      </c>
      <c r="F78" s="25" t="s">
        <v>533</v>
      </c>
      <c r="G78" s="25" t="s">
        <v>463</v>
      </c>
      <c r="H78" s="25">
        <v>1</v>
      </c>
      <c r="I78" s="25">
        <v>850</v>
      </c>
      <c r="J78" s="28">
        <v>83.2</v>
      </c>
      <c r="K78" s="29">
        <v>30.97</v>
      </c>
      <c r="L78" s="25">
        <v>0</v>
      </c>
      <c r="M78" s="25">
        <v>5</v>
      </c>
      <c r="N78" s="25">
        <v>3</v>
      </c>
      <c r="O78" s="25">
        <v>1</v>
      </c>
      <c r="P78" s="25">
        <v>3</v>
      </c>
      <c r="Q78" s="25">
        <v>2</v>
      </c>
      <c r="S78" s="25">
        <v>0.67</v>
      </c>
      <c r="T78" s="25">
        <v>0</v>
      </c>
      <c r="U78" s="25">
        <v>0.39</v>
      </c>
      <c r="V78" s="25">
        <v>0</v>
      </c>
      <c r="W78" s="25">
        <v>0</v>
      </c>
      <c r="X78" s="25">
        <v>0.66</v>
      </c>
      <c r="Y78" s="25">
        <v>0.65</v>
      </c>
      <c r="Z78" s="25">
        <v>0</v>
      </c>
      <c r="AA78" s="25">
        <v>0.71</v>
      </c>
      <c r="AB78" s="25">
        <v>0</v>
      </c>
      <c r="AC78" s="25">
        <v>0</v>
      </c>
      <c r="AD78" s="25">
        <v>0</v>
      </c>
      <c r="AE78" s="25">
        <v>0.76</v>
      </c>
      <c r="AF78" s="25">
        <v>0.68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0.77</v>
      </c>
      <c r="AO78" s="25">
        <v>0</v>
      </c>
      <c r="AP78" s="25">
        <v>0.62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0.63</v>
      </c>
      <c r="AX78" s="25">
        <v>0.34</v>
      </c>
      <c r="AY78" s="25">
        <v>0</v>
      </c>
      <c r="AZ78" s="25">
        <v>0</v>
      </c>
      <c r="BA78" s="25">
        <v>0</v>
      </c>
      <c r="BB78" s="25">
        <v>0</v>
      </c>
      <c r="BC78" s="25">
        <v>0.36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0.31</v>
      </c>
      <c r="BL78" s="25">
        <v>0</v>
      </c>
      <c r="BM78" s="25">
        <v>0</v>
      </c>
      <c r="BN78" s="25">
        <v>0.26</v>
      </c>
      <c r="BO78" s="25">
        <v>0</v>
      </c>
      <c r="BP78" s="25">
        <v>0.46</v>
      </c>
      <c r="BQ78" s="25">
        <v>0</v>
      </c>
      <c r="BR78" s="25">
        <v>0</v>
      </c>
      <c r="BS78" s="25">
        <v>0</v>
      </c>
      <c r="BT78" s="25">
        <v>0</v>
      </c>
      <c r="BU78" s="25">
        <v>0.36</v>
      </c>
      <c r="BV78" s="25">
        <v>0.16</v>
      </c>
      <c r="BW78" s="25">
        <v>0</v>
      </c>
      <c r="BX78" s="25">
        <v>0.45</v>
      </c>
      <c r="BY78" s="25">
        <v>0.63</v>
      </c>
      <c r="BZ78" s="25">
        <v>0.13</v>
      </c>
      <c r="DO78" s="25">
        <v>0.83</v>
      </c>
      <c r="DP78" s="25">
        <v>0.49</v>
      </c>
      <c r="DS78" s="25">
        <v>0.5</v>
      </c>
    </row>
    <row r="79" spans="1:128" x14ac:dyDescent="0.25">
      <c r="A79" s="25" t="s">
        <v>546</v>
      </c>
      <c r="B79" s="25">
        <v>54</v>
      </c>
      <c r="C79" s="25">
        <v>2019</v>
      </c>
      <c r="D79" s="25" t="s">
        <v>477</v>
      </c>
      <c r="E79" s="25" t="s">
        <v>360</v>
      </c>
      <c r="F79" s="25" t="s">
        <v>478</v>
      </c>
      <c r="G79" s="25" t="s">
        <v>597</v>
      </c>
      <c r="H79" s="25">
        <v>1</v>
      </c>
      <c r="I79" s="25">
        <v>419</v>
      </c>
      <c r="J79" s="28">
        <f>100-53.8</f>
        <v>46.2</v>
      </c>
      <c r="K79" s="25">
        <v>31.9</v>
      </c>
      <c r="L79" s="25">
        <v>1</v>
      </c>
      <c r="M79" s="25">
        <v>5</v>
      </c>
      <c r="N79" s="25">
        <v>3</v>
      </c>
      <c r="O79" s="25">
        <v>1</v>
      </c>
      <c r="P79" s="25">
        <v>3</v>
      </c>
      <c r="Q79" s="25">
        <v>2</v>
      </c>
      <c r="R79" s="40" t="s">
        <v>598</v>
      </c>
      <c r="S79" s="25">
        <v>0.52</v>
      </c>
      <c r="T79" s="25">
        <v>0</v>
      </c>
      <c r="U79" s="25">
        <v>0.61</v>
      </c>
      <c r="V79" s="25">
        <v>0</v>
      </c>
      <c r="W79" s="25">
        <v>0</v>
      </c>
      <c r="X79" s="25">
        <v>0.67</v>
      </c>
      <c r="Y79" s="25">
        <v>0.7</v>
      </c>
      <c r="Z79" s="25">
        <v>0</v>
      </c>
      <c r="AA79" s="25">
        <v>0.66</v>
      </c>
      <c r="AB79" s="25">
        <v>0</v>
      </c>
      <c r="AC79" s="25">
        <v>0</v>
      </c>
      <c r="AD79" s="25">
        <v>0</v>
      </c>
      <c r="AE79" s="25">
        <v>0.74</v>
      </c>
      <c r="AF79" s="25">
        <v>0.63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0.74</v>
      </c>
      <c r="AO79" s="25">
        <v>0</v>
      </c>
      <c r="AP79" s="25">
        <v>0.38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0.6</v>
      </c>
      <c r="AX79" s="25">
        <v>0.52</v>
      </c>
      <c r="AY79" s="25">
        <v>0</v>
      </c>
      <c r="AZ79" s="25">
        <v>0</v>
      </c>
      <c r="BA79" s="25">
        <v>0</v>
      </c>
      <c r="BB79" s="25">
        <v>0</v>
      </c>
      <c r="BC79" s="25">
        <v>0.5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0.09</v>
      </c>
      <c r="BL79" s="25">
        <v>0</v>
      </c>
      <c r="BM79" s="25">
        <v>0</v>
      </c>
      <c r="BN79" s="25">
        <v>0.55000000000000004</v>
      </c>
      <c r="BO79" s="25">
        <v>0</v>
      </c>
      <c r="BP79" s="25">
        <v>0.03</v>
      </c>
      <c r="BQ79" s="25">
        <v>0</v>
      </c>
      <c r="BR79" s="25">
        <v>0</v>
      </c>
      <c r="BS79" s="25">
        <v>0</v>
      </c>
      <c r="BT79" s="25">
        <v>0</v>
      </c>
      <c r="BU79" s="25">
        <v>0.41</v>
      </c>
      <c r="BV79" s="25">
        <v>0.4</v>
      </c>
      <c r="BW79" s="25">
        <v>0</v>
      </c>
      <c r="BX79" s="25">
        <v>0.09</v>
      </c>
      <c r="BY79" s="25">
        <v>7.0000000000000007E-2</v>
      </c>
      <c r="BZ79" s="25">
        <v>0.44</v>
      </c>
      <c r="DO79" s="25">
        <v>0.6</v>
      </c>
      <c r="DP79" s="25">
        <v>0.4</v>
      </c>
      <c r="DS79" s="25">
        <v>0.42</v>
      </c>
    </row>
    <row r="80" spans="1:128" x14ac:dyDescent="0.25">
      <c r="A80" s="25" t="s">
        <v>472</v>
      </c>
      <c r="B80" s="25">
        <v>55</v>
      </c>
      <c r="C80" s="25">
        <v>2019</v>
      </c>
      <c r="D80" s="25" t="s">
        <v>366</v>
      </c>
      <c r="E80" s="25" t="s">
        <v>372</v>
      </c>
      <c r="F80" s="25" t="s">
        <v>362</v>
      </c>
      <c r="G80" s="25" t="s">
        <v>447</v>
      </c>
      <c r="H80" s="25">
        <v>1</v>
      </c>
      <c r="I80" s="25">
        <v>1621</v>
      </c>
      <c r="J80" s="28">
        <v>74</v>
      </c>
      <c r="K80" s="29">
        <v>19.829999999999998</v>
      </c>
      <c r="L80" s="25">
        <v>0</v>
      </c>
      <c r="M80" s="25">
        <v>5</v>
      </c>
      <c r="N80" s="25">
        <v>4</v>
      </c>
      <c r="O80" s="25">
        <v>1</v>
      </c>
      <c r="P80" s="25">
        <v>3</v>
      </c>
      <c r="Q80" s="25">
        <v>2</v>
      </c>
      <c r="R80" s="25" t="s">
        <v>526</v>
      </c>
      <c r="S80" s="25">
        <v>0.76500000000000001</v>
      </c>
      <c r="T80" s="25">
        <v>0</v>
      </c>
      <c r="U80" s="25">
        <v>0.59199999999999997</v>
      </c>
      <c r="V80" s="25">
        <v>0</v>
      </c>
      <c r="W80" s="25">
        <v>0</v>
      </c>
      <c r="X80" s="25">
        <v>0.71199999999999997</v>
      </c>
      <c r="Y80" s="25">
        <v>0.69599999999999995</v>
      </c>
      <c r="Z80" s="25">
        <v>0</v>
      </c>
      <c r="AA80" s="25">
        <v>0.78600000000000003</v>
      </c>
      <c r="AB80" s="25">
        <v>0</v>
      </c>
      <c r="AC80" s="25">
        <v>0</v>
      </c>
      <c r="AD80" s="25">
        <v>0</v>
      </c>
      <c r="AE80" s="25">
        <v>0.81200000000000006</v>
      </c>
      <c r="AF80" s="25">
        <v>0.69899999999999995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0.80900000000000005</v>
      </c>
      <c r="AO80" s="25">
        <v>0</v>
      </c>
      <c r="AP80" s="25">
        <v>0.61399999999999999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0.68500000000000005</v>
      </c>
      <c r="AX80" s="25">
        <v>0.627</v>
      </c>
      <c r="AY80" s="25">
        <v>0</v>
      </c>
      <c r="AZ80" s="25">
        <v>0</v>
      </c>
      <c r="BA80" s="25">
        <v>0</v>
      </c>
      <c r="BB80" s="25">
        <v>0</v>
      </c>
      <c r="BC80" s="25">
        <v>0.54900000000000004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0.53300000000000003</v>
      </c>
      <c r="BL80" s="25">
        <v>0</v>
      </c>
      <c r="BM80" s="25">
        <v>0</v>
      </c>
      <c r="BN80" s="25">
        <v>0.26100000000000001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25">
        <v>0</v>
      </c>
      <c r="BW80" s="25">
        <v>0</v>
      </c>
      <c r="BX80" s="25">
        <v>0</v>
      </c>
      <c r="BY80" s="25">
        <v>0</v>
      </c>
      <c r="BZ80" s="25">
        <v>0.11700000000000001</v>
      </c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0</v>
      </c>
      <c r="CH80" s="25">
        <v>0</v>
      </c>
      <c r="CI80" s="25">
        <v>0</v>
      </c>
      <c r="CJ80" s="25">
        <v>0.67300000000000004</v>
      </c>
      <c r="CK80" s="25">
        <v>0</v>
      </c>
      <c r="CL80" s="25">
        <v>0</v>
      </c>
      <c r="CM80" s="25">
        <v>0</v>
      </c>
      <c r="CN80" s="25">
        <v>0</v>
      </c>
      <c r="CO80" s="25">
        <v>7.3999999999999996E-2</v>
      </c>
      <c r="CP80" s="25">
        <v>2E-3</v>
      </c>
      <c r="CQ80" s="25">
        <v>0</v>
      </c>
      <c r="CR80" s="25">
        <v>0.58099999999999996</v>
      </c>
      <c r="CS80" s="25">
        <v>0.76500000000000001</v>
      </c>
      <c r="CT80" s="25">
        <v>0</v>
      </c>
      <c r="DO80" s="25">
        <v>0.83499999999999996</v>
      </c>
      <c r="DP80" s="25">
        <v>0.14499999999999999</v>
      </c>
      <c r="DQ80" s="25">
        <v>0.14099999999999999</v>
      </c>
      <c r="DS80" s="25">
        <v>0.114</v>
      </c>
      <c r="DT80" s="25">
        <v>0.151</v>
      </c>
      <c r="DV80" s="25">
        <v>0.76</v>
      </c>
    </row>
    <row r="81" spans="1:126" x14ac:dyDescent="0.25">
      <c r="A81" s="25" t="s">
        <v>473</v>
      </c>
      <c r="B81" s="25">
        <v>55</v>
      </c>
      <c r="C81" s="25">
        <v>2019</v>
      </c>
      <c r="D81" s="25" t="s">
        <v>474</v>
      </c>
      <c r="E81" s="25" t="s">
        <v>360</v>
      </c>
      <c r="F81" s="25" t="s">
        <v>362</v>
      </c>
      <c r="G81" s="25" t="s">
        <v>447</v>
      </c>
      <c r="H81" s="25">
        <v>1</v>
      </c>
      <c r="I81" s="25">
        <v>482</v>
      </c>
      <c r="J81" s="28">
        <v>76</v>
      </c>
      <c r="K81" s="29">
        <v>17.77</v>
      </c>
      <c r="L81" s="25">
        <v>0</v>
      </c>
      <c r="M81" s="25">
        <v>5</v>
      </c>
      <c r="N81" s="25">
        <v>4</v>
      </c>
      <c r="O81" s="25">
        <v>1</v>
      </c>
      <c r="P81" s="25">
        <v>3</v>
      </c>
      <c r="Q81" s="25">
        <v>2</v>
      </c>
      <c r="S81" s="25">
        <v>0.78100000000000003</v>
      </c>
      <c r="T81" s="25">
        <v>0</v>
      </c>
      <c r="U81" s="25">
        <v>0.49099999999999999</v>
      </c>
      <c r="V81" s="25">
        <v>0</v>
      </c>
      <c r="W81" s="25">
        <v>0</v>
      </c>
      <c r="X81" s="25">
        <v>0.60399999999999998</v>
      </c>
      <c r="Y81" s="25">
        <v>0.56699999999999995</v>
      </c>
      <c r="Z81" s="25">
        <v>0</v>
      </c>
      <c r="AA81" s="25">
        <v>0.754</v>
      </c>
      <c r="AB81" s="25">
        <v>0</v>
      </c>
      <c r="AC81" s="25">
        <v>0</v>
      </c>
      <c r="AD81" s="25">
        <v>0</v>
      </c>
      <c r="AE81" s="25">
        <v>0.78500000000000003</v>
      </c>
      <c r="AF81" s="25">
        <v>0.63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0.76400000000000001</v>
      </c>
      <c r="AO81" s="25">
        <v>0</v>
      </c>
      <c r="AP81" s="25">
        <v>0.55900000000000005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0.70599999999999996</v>
      </c>
      <c r="AX81" s="25">
        <v>0.55000000000000004</v>
      </c>
      <c r="AY81" s="25">
        <v>0</v>
      </c>
      <c r="AZ81" s="25">
        <v>0</v>
      </c>
      <c r="BA81" s="25">
        <v>0</v>
      </c>
      <c r="BB81" s="25">
        <v>0</v>
      </c>
      <c r="BC81" s="25">
        <v>0.49199999999999999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7.5999999999999998E-2</v>
      </c>
      <c r="BL81" s="25">
        <v>0</v>
      </c>
      <c r="BM81" s="25">
        <v>0</v>
      </c>
      <c r="BN81" s="25">
        <v>0.46700000000000003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25">
        <v>0</v>
      </c>
      <c r="BX81" s="25">
        <v>0</v>
      </c>
      <c r="BY81" s="25">
        <v>0</v>
      </c>
      <c r="BZ81" s="25">
        <v>0.43</v>
      </c>
      <c r="CA81" s="25">
        <v>0</v>
      </c>
      <c r="CB81" s="25">
        <v>0</v>
      </c>
      <c r="CC81" s="25">
        <v>0</v>
      </c>
      <c r="CD81" s="25">
        <v>0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0.41099999999999998</v>
      </c>
      <c r="CK81" s="25">
        <v>0</v>
      </c>
      <c r="CL81" s="25">
        <v>0</v>
      </c>
      <c r="CM81" s="25">
        <v>0</v>
      </c>
      <c r="CN81" s="25">
        <v>0</v>
      </c>
      <c r="CO81" s="25">
        <v>1E-3</v>
      </c>
      <c r="CP81" s="25">
        <v>3.6999999999999998E-2</v>
      </c>
      <c r="CQ81" s="25">
        <v>0</v>
      </c>
      <c r="CR81" s="25">
        <v>0.45700000000000002</v>
      </c>
      <c r="CS81" s="25">
        <v>0.77800000000000002</v>
      </c>
      <c r="CT81" s="25">
        <v>0</v>
      </c>
      <c r="DO81" s="25">
        <v>0.93500000000000005</v>
      </c>
      <c r="DP81" s="25">
        <v>5.6000000000000001E-2</v>
      </c>
      <c r="DQ81" s="25">
        <v>0.59899999999999998</v>
      </c>
      <c r="DS81" s="25">
        <v>-3.9E-2</v>
      </c>
      <c r="DT81" s="25">
        <v>0.70899999999999996</v>
      </c>
      <c r="DV81" s="25">
        <v>9.6000000000000002E-2</v>
      </c>
    </row>
    <row r="82" spans="1:126" x14ac:dyDescent="0.25">
      <c r="A82" s="25" t="s">
        <v>475</v>
      </c>
      <c r="B82" s="25">
        <v>56</v>
      </c>
      <c r="C82" s="25">
        <v>2019</v>
      </c>
      <c r="D82" s="25" t="s">
        <v>363</v>
      </c>
      <c r="E82" s="25" t="s">
        <v>372</v>
      </c>
      <c r="F82" s="25" t="s">
        <v>362</v>
      </c>
      <c r="G82" s="25" t="s">
        <v>525</v>
      </c>
      <c r="H82" s="25">
        <v>1</v>
      </c>
      <c r="I82" s="25">
        <v>12706</v>
      </c>
      <c r="J82" s="28">
        <v>16</v>
      </c>
      <c r="L82" s="25">
        <v>0</v>
      </c>
      <c r="M82" s="25">
        <v>5</v>
      </c>
      <c r="N82" s="25">
        <v>4</v>
      </c>
      <c r="O82" s="25">
        <v>1</v>
      </c>
      <c r="P82" s="25">
        <v>3</v>
      </c>
      <c r="Q82" s="25">
        <v>2</v>
      </c>
      <c r="R82" s="25" t="s">
        <v>527</v>
      </c>
      <c r="S82" s="25">
        <v>0.74</v>
      </c>
      <c r="T82" s="25">
        <v>0</v>
      </c>
      <c r="U82" s="25">
        <v>0.6</v>
      </c>
      <c r="V82" s="25">
        <v>0</v>
      </c>
      <c r="W82" s="25">
        <v>0</v>
      </c>
      <c r="X82" s="25">
        <v>0.73</v>
      </c>
      <c r="Y82" s="25">
        <v>0.71</v>
      </c>
      <c r="Z82" s="25">
        <v>0</v>
      </c>
      <c r="AA82" s="25">
        <v>0.8</v>
      </c>
      <c r="AB82" s="25">
        <v>0</v>
      </c>
      <c r="AC82" s="25">
        <v>0</v>
      </c>
      <c r="AD82" s="25">
        <v>0</v>
      </c>
      <c r="AE82" s="25">
        <v>0.8</v>
      </c>
      <c r="AF82" s="25">
        <v>0.7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0.76</v>
      </c>
      <c r="AO82" s="25">
        <v>0</v>
      </c>
      <c r="AP82" s="25">
        <v>0.4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0.72</v>
      </c>
      <c r="AX82" s="25">
        <v>0.62</v>
      </c>
      <c r="AY82" s="25">
        <v>0</v>
      </c>
      <c r="AZ82" s="25">
        <v>0</v>
      </c>
      <c r="BA82" s="25">
        <v>0</v>
      </c>
      <c r="BB82" s="25">
        <v>0</v>
      </c>
      <c r="BC82" s="25">
        <v>0.62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0.02</v>
      </c>
      <c r="BL82" s="25">
        <v>0</v>
      </c>
      <c r="BM82" s="25">
        <v>0</v>
      </c>
      <c r="BN82" s="25">
        <v>0.44</v>
      </c>
      <c r="BO82" s="25">
        <v>0</v>
      </c>
      <c r="BP82" s="25">
        <v>0.26</v>
      </c>
      <c r="BQ82" s="25">
        <v>0</v>
      </c>
      <c r="BR82" s="25">
        <v>0</v>
      </c>
      <c r="BS82" s="25">
        <v>0</v>
      </c>
      <c r="BT82" s="25">
        <v>0</v>
      </c>
      <c r="BU82" s="25">
        <v>0.6</v>
      </c>
      <c r="BV82" s="25">
        <v>0.43</v>
      </c>
      <c r="BW82" s="25">
        <v>0</v>
      </c>
      <c r="BX82" s="25">
        <v>0.06</v>
      </c>
      <c r="BY82" s="25">
        <v>0.23</v>
      </c>
      <c r="BZ82" s="25">
        <v>0.38</v>
      </c>
      <c r="CA82" s="25">
        <v>0</v>
      </c>
      <c r="CB82" s="25">
        <v>0</v>
      </c>
      <c r="CC82" s="25">
        <v>0</v>
      </c>
      <c r="CD82" s="25">
        <v>0.36</v>
      </c>
      <c r="CE82" s="25">
        <v>0.37</v>
      </c>
      <c r="CF82" s="25">
        <v>0</v>
      </c>
      <c r="CG82" s="25">
        <v>0</v>
      </c>
      <c r="CH82" s="25">
        <v>0</v>
      </c>
      <c r="CI82" s="25">
        <v>0</v>
      </c>
      <c r="CJ82" s="25">
        <v>0.5</v>
      </c>
      <c r="CK82" s="25">
        <v>0</v>
      </c>
      <c r="CL82" s="25">
        <v>0</v>
      </c>
      <c r="CM82" s="25">
        <v>0</v>
      </c>
      <c r="CN82" s="25">
        <v>0</v>
      </c>
      <c r="CO82" s="25">
        <v>0</v>
      </c>
      <c r="CP82" s="25">
        <v>0</v>
      </c>
      <c r="CQ82" s="25">
        <v>0</v>
      </c>
      <c r="CR82" s="25">
        <v>0.51</v>
      </c>
      <c r="CS82" s="25">
        <v>0.7</v>
      </c>
      <c r="CT82" s="25">
        <v>0</v>
      </c>
      <c r="DO82" s="25">
        <v>0.84</v>
      </c>
      <c r="DP82" s="25">
        <v>0.57999999999999996</v>
      </c>
      <c r="DQ82" s="25">
        <v>0</v>
      </c>
      <c r="DS82" s="25">
        <v>0.66</v>
      </c>
      <c r="DT82" s="25">
        <v>0</v>
      </c>
      <c r="DV82" s="25">
        <v>0</v>
      </c>
    </row>
    <row r="83" spans="1:126" x14ac:dyDescent="0.25">
      <c r="A83" s="25" t="s">
        <v>604</v>
      </c>
      <c r="B83" s="25">
        <v>56</v>
      </c>
      <c r="C83" s="25">
        <v>2019</v>
      </c>
      <c r="D83" s="25" t="s">
        <v>363</v>
      </c>
      <c r="E83" s="25" t="s">
        <v>372</v>
      </c>
      <c r="F83" s="25" t="s">
        <v>367</v>
      </c>
      <c r="G83" s="25" t="s">
        <v>525</v>
      </c>
      <c r="H83" s="25">
        <v>1</v>
      </c>
      <c r="I83" s="25">
        <v>5160</v>
      </c>
      <c r="J83" s="28">
        <v>14</v>
      </c>
      <c r="L83" s="25">
        <v>0</v>
      </c>
      <c r="M83" s="25">
        <v>5</v>
      </c>
      <c r="N83" s="25">
        <v>4</v>
      </c>
      <c r="O83" s="25">
        <v>1</v>
      </c>
      <c r="P83" s="25">
        <v>3</v>
      </c>
      <c r="Q83" s="25">
        <v>2</v>
      </c>
      <c r="S83" s="25">
        <v>0.72</v>
      </c>
      <c r="T83" s="25">
        <v>0</v>
      </c>
      <c r="U83" s="25">
        <v>0.51</v>
      </c>
      <c r="V83" s="25">
        <v>0</v>
      </c>
      <c r="W83" s="25">
        <v>0</v>
      </c>
      <c r="X83" s="25">
        <v>0.68</v>
      </c>
      <c r="Y83" s="25">
        <v>0.48</v>
      </c>
      <c r="Z83" s="25">
        <v>0</v>
      </c>
      <c r="AA83" s="25">
        <v>0.77</v>
      </c>
      <c r="AB83" s="25">
        <v>0</v>
      </c>
      <c r="AC83" s="25">
        <v>0</v>
      </c>
      <c r="AD83" s="25">
        <v>0</v>
      </c>
      <c r="AE83" s="25">
        <v>0.79</v>
      </c>
      <c r="AF83" s="25">
        <v>0.65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0.78</v>
      </c>
      <c r="AO83" s="25">
        <v>0</v>
      </c>
      <c r="AP83" s="25">
        <v>0.48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0.74</v>
      </c>
      <c r="AX83" s="25">
        <v>0.63</v>
      </c>
      <c r="AY83" s="25">
        <v>0</v>
      </c>
      <c r="AZ83" s="25">
        <v>0</v>
      </c>
      <c r="BA83" s="25">
        <v>0</v>
      </c>
      <c r="BB83" s="25">
        <v>0</v>
      </c>
      <c r="BC83" s="25">
        <v>0.63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-0.02</v>
      </c>
      <c r="BL83" s="25">
        <v>0</v>
      </c>
      <c r="BM83" s="25">
        <v>0</v>
      </c>
      <c r="BN83" s="25">
        <v>0.4</v>
      </c>
      <c r="BO83" s="25">
        <v>0</v>
      </c>
      <c r="BP83" s="25">
        <v>0.22</v>
      </c>
      <c r="BQ83" s="25">
        <v>0</v>
      </c>
      <c r="BR83" s="25">
        <v>0</v>
      </c>
      <c r="BS83" s="25">
        <v>0</v>
      </c>
      <c r="BT83" s="25">
        <v>0</v>
      </c>
      <c r="BU83" s="25">
        <v>0.64</v>
      </c>
      <c r="BV83" s="25">
        <v>0.43</v>
      </c>
      <c r="BW83" s="25">
        <v>0</v>
      </c>
      <c r="BX83" s="25">
        <v>0.05</v>
      </c>
      <c r="BY83" s="25">
        <v>0.15</v>
      </c>
      <c r="BZ83" s="25">
        <v>0.33</v>
      </c>
      <c r="CA83" s="25">
        <v>0</v>
      </c>
      <c r="CB83" s="25">
        <v>0</v>
      </c>
      <c r="CC83" s="25">
        <v>0</v>
      </c>
      <c r="CD83" s="25">
        <v>0.38</v>
      </c>
      <c r="CE83" s="25">
        <v>0.49</v>
      </c>
      <c r="CF83" s="25">
        <v>0</v>
      </c>
      <c r="CG83" s="25">
        <v>0</v>
      </c>
      <c r="CH83" s="25">
        <v>0</v>
      </c>
      <c r="CI83" s="25">
        <v>0</v>
      </c>
      <c r="CJ83" s="25">
        <v>0.61</v>
      </c>
      <c r="CK83" s="25">
        <v>0</v>
      </c>
      <c r="CL83" s="25">
        <v>0</v>
      </c>
      <c r="CM83" s="25">
        <v>0</v>
      </c>
      <c r="CN83" s="25">
        <v>0</v>
      </c>
      <c r="CO83" s="25">
        <v>0</v>
      </c>
      <c r="CP83" s="25">
        <v>0</v>
      </c>
      <c r="CQ83" s="25">
        <v>0</v>
      </c>
      <c r="CR83" s="25">
        <v>0.46</v>
      </c>
      <c r="CS83" s="25">
        <v>0.56999999999999995</v>
      </c>
      <c r="CT83" s="25">
        <v>0</v>
      </c>
      <c r="DO83" s="25">
        <v>0.84</v>
      </c>
      <c r="DP83" s="25">
        <v>0.57999999999999996</v>
      </c>
      <c r="DQ83" s="25">
        <v>0</v>
      </c>
      <c r="DS83" s="25">
        <v>0.7</v>
      </c>
      <c r="DT83" s="25">
        <v>0</v>
      </c>
      <c r="DV83" s="25">
        <v>0</v>
      </c>
    </row>
    <row r="84" spans="1:126" x14ac:dyDescent="0.25">
      <c r="A84" s="25" t="s">
        <v>606</v>
      </c>
      <c r="B84" s="25">
        <v>57</v>
      </c>
      <c r="C84" s="25">
        <v>2020</v>
      </c>
      <c r="D84" s="25" t="s">
        <v>608</v>
      </c>
      <c r="E84" s="25" t="s">
        <v>373</v>
      </c>
      <c r="F84" s="25" t="s">
        <v>449</v>
      </c>
      <c r="G84" s="25" t="s">
        <v>607</v>
      </c>
      <c r="H84" s="25">
        <v>1</v>
      </c>
      <c r="I84" s="25">
        <v>602</v>
      </c>
      <c r="J84" s="28">
        <f>152/602*100</f>
        <v>25.249169435215947</v>
      </c>
      <c r="K84" s="29">
        <v>52.82</v>
      </c>
      <c r="L84" s="25">
        <v>0</v>
      </c>
      <c r="M84" s="25">
        <v>5</v>
      </c>
      <c r="N84" s="25">
        <v>3</v>
      </c>
      <c r="O84" s="25">
        <v>0</v>
      </c>
      <c r="P84" s="25">
        <v>2</v>
      </c>
      <c r="Q84" s="25">
        <v>1</v>
      </c>
      <c r="R84" s="25" t="s">
        <v>609</v>
      </c>
      <c r="S84" s="25">
        <v>0.55000000000000004</v>
      </c>
      <c r="T84" s="25">
        <v>0.43</v>
      </c>
      <c r="U84" s="25">
        <v>0.54</v>
      </c>
      <c r="V84" s="25">
        <v>-0.03</v>
      </c>
      <c r="W84" s="25">
        <v>0.08</v>
      </c>
      <c r="X84" s="25">
        <v>0.46</v>
      </c>
      <c r="Y84" s="25">
        <v>0.77</v>
      </c>
      <c r="Z84" s="25">
        <v>0.23</v>
      </c>
      <c r="AA84" s="25">
        <v>0.68</v>
      </c>
      <c r="AB84" s="25">
        <v>0.01</v>
      </c>
      <c r="AC84" s="25">
        <v>0.28999999999999998</v>
      </c>
      <c r="AD84" s="25">
        <v>0.18</v>
      </c>
      <c r="AE84" s="25">
        <v>0.62</v>
      </c>
      <c r="AF84" s="25">
        <v>0.6</v>
      </c>
      <c r="AG84" s="25">
        <v>0.06</v>
      </c>
      <c r="AH84" s="25">
        <v>0.15</v>
      </c>
      <c r="AI84" s="25">
        <v>0.18</v>
      </c>
      <c r="AJ84" s="25">
        <v>0.05</v>
      </c>
      <c r="AK84" s="25">
        <v>-0.06</v>
      </c>
      <c r="AL84" s="25">
        <v>0.19</v>
      </c>
      <c r="AM84" s="25">
        <v>0.23</v>
      </c>
      <c r="AN84" s="25">
        <v>0.39</v>
      </c>
      <c r="AO84" s="25">
        <v>0.05</v>
      </c>
      <c r="AP84" s="25">
        <v>0.34</v>
      </c>
      <c r="AQ84" s="25">
        <v>-0.06</v>
      </c>
      <c r="AR84" s="25">
        <v>0.13</v>
      </c>
      <c r="AS84" s="25">
        <v>0.12</v>
      </c>
      <c r="AT84" s="25">
        <v>0.31</v>
      </c>
      <c r="AU84" s="25">
        <v>0.31</v>
      </c>
      <c r="AV84" s="25">
        <v>-0.01</v>
      </c>
      <c r="AW84" s="25">
        <v>0.63</v>
      </c>
      <c r="AX84" s="25">
        <v>0.57999999999999996</v>
      </c>
      <c r="AY84" s="25">
        <v>0.27</v>
      </c>
      <c r="AZ84" s="25">
        <v>0.17</v>
      </c>
      <c r="BA84" s="25">
        <v>0.46</v>
      </c>
      <c r="BB84" s="25">
        <v>0.41</v>
      </c>
      <c r="BC84" s="25">
        <v>0.64</v>
      </c>
      <c r="BD84" s="25">
        <v>-0.08</v>
      </c>
      <c r="BE84" s="25">
        <v>-0.03</v>
      </c>
      <c r="BF84" s="25">
        <v>0.34</v>
      </c>
      <c r="BG84" s="25">
        <v>-0.05</v>
      </c>
      <c r="BH84" s="25">
        <v>0.05</v>
      </c>
      <c r="BI84" s="25">
        <v>0.03</v>
      </c>
      <c r="BJ84" s="25">
        <v>0.41</v>
      </c>
      <c r="BK84" s="25">
        <v>0.51</v>
      </c>
      <c r="BL84" s="25">
        <v>-0.03</v>
      </c>
      <c r="BM84" s="25">
        <v>0.05</v>
      </c>
      <c r="BN84" s="25">
        <v>-0.12</v>
      </c>
      <c r="BO84" s="25">
        <v>-0.05</v>
      </c>
      <c r="BP84" s="25">
        <v>0.57999999999999996</v>
      </c>
      <c r="BQ84" s="25">
        <v>0.02</v>
      </c>
      <c r="BR84" s="25">
        <v>0.11</v>
      </c>
      <c r="BS84" s="25">
        <v>0.08</v>
      </c>
      <c r="BT84" s="25">
        <v>0.1</v>
      </c>
      <c r="BU84" s="25">
        <v>-7.0000000000000007E-2</v>
      </c>
      <c r="BV84" s="25">
        <v>-0.12</v>
      </c>
      <c r="BW84" s="25">
        <v>0.1</v>
      </c>
      <c r="BX84" s="25">
        <v>0.68</v>
      </c>
      <c r="BY84" s="25">
        <v>0.7</v>
      </c>
      <c r="BZ84" s="25">
        <v>-0.06</v>
      </c>
      <c r="DO84" s="25">
        <v>0</v>
      </c>
      <c r="DP84" s="25">
        <v>0</v>
      </c>
      <c r="DS84" s="25">
        <v>0</v>
      </c>
    </row>
    <row r="85" spans="1:126" x14ac:dyDescent="0.25">
      <c r="A85" s="25" t="s">
        <v>592</v>
      </c>
      <c r="B85" s="25">
        <v>58</v>
      </c>
      <c r="C85" s="25">
        <v>2020</v>
      </c>
      <c r="D85" s="25" t="s">
        <v>466</v>
      </c>
      <c r="E85" s="25" t="s">
        <v>466</v>
      </c>
      <c r="F85" s="25" t="s">
        <v>362</v>
      </c>
      <c r="G85" s="25" t="s">
        <v>593</v>
      </c>
      <c r="H85" s="25">
        <v>1</v>
      </c>
      <c r="I85" s="25">
        <v>146</v>
      </c>
      <c r="J85" s="28">
        <v>0</v>
      </c>
      <c r="K85" s="29">
        <v>37.979999999999997</v>
      </c>
      <c r="L85" s="25">
        <v>0</v>
      </c>
      <c r="M85" s="25">
        <v>5</v>
      </c>
      <c r="N85" s="25">
        <v>1</v>
      </c>
      <c r="O85" s="25">
        <v>1</v>
      </c>
      <c r="P85" s="25">
        <v>3</v>
      </c>
      <c r="Q85" s="25">
        <v>2</v>
      </c>
      <c r="R85" s="25" t="s">
        <v>594</v>
      </c>
      <c r="S85" s="25">
        <v>0.67400000000000004</v>
      </c>
      <c r="T85" s="25">
        <v>0.71099999999999997</v>
      </c>
      <c r="U85" s="25">
        <v>0.64800000000000002</v>
      </c>
      <c r="V85" s="25">
        <v>0.442</v>
      </c>
      <c r="W85" s="25">
        <v>2.1999999999999999E-2</v>
      </c>
      <c r="X85" s="25">
        <v>0.81200000000000006</v>
      </c>
      <c r="Y85" s="25">
        <v>0.70199999999999996</v>
      </c>
      <c r="Z85" s="25">
        <v>0.39200000000000002</v>
      </c>
      <c r="AA85" s="25">
        <v>0.83399999999999996</v>
      </c>
      <c r="AB85" s="25">
        <v>0.25</v>
      </c>
      <c r="AC85" s="25">
        <v>0.66500000000000004</v>
      </c>
      <c r="AD85" s="25">
        <v>0.48</v>
      </c>
      <c r="AE85" s="25">
        <v>0.80300000000000005</v>
      </c>
      <c r="AF85" s="25">
        <v>0.78400000000000003</v>
      </c>
      <c r="AG85" s="25">
        <v>0.41199999999999998</v>
      </c>
      <c r="AH85" s="25">
        <v>0.09</v>
      </c>
      <c r="AI85" s="25">
        <v>0.68400000000000005</v>
      </c>
      <c r="AJ85" s="25">
        <v>0.13300000000000001</v>
      </c>
      <c r="AK85" s="25">
        <v>0.30399999999999999</v>
      </c>
      <c r="AL85" s="25">
        <v>0.28399999999999997</v>
      </c>
    </row>
    <row r="86" spans="1:126" x14ac:dyDescent="0.25">
      <c r="A86" s="25" t="s">
        <v>499</v>
      </c>
      <c r="B86" s="25">
        <v>59</v>
      </c>
      <c r="C86" s="25">
        <v>2020</v>
      </c>
      <c r="D86" s="25" t="s">
        <v>366</v>
      </c>
      <c r="E86" s="25" t="s">
        <v>372</v>
      </c>
      <c r="F86" s="25" t="s">
        <v>362</v>
      </c>
      <c r="G86" s="25" t="s">
        <v>463</v>
      </c>
      <c r="H86" s="25">
        <v>1</v>
      </c>
      <c r="I86" s="25">
        <v>674</v>
      </c>
      <c r="J86" s="28">
        <v>45.3</v>
      </c>
      <c r="L86" s="25">
        <v>0</v>
      </c>
      <c r="M86" s="25">
        <v>5</v>
      </c>
      <c r="N86" s="25">
        <v>4</v>
      </c>
      <c r="O86" s="25">
        <v>1</v>
      </c>
      <c r="P86" s="25">
        <v>3</v>
      </c>
      <c r="Q86" s="25">
        <v>2</v>
      </c>
      <c r="S86" s="25">
        <v>0.71599999999999997</v>
      </c>
      <c r="T86" s="25">
        <v>0</v>
      </c>
      <c r="U86" s="25">
        <v>0.65400000000000003</v>
      </c>
      <c r="V86" s="25">
        <v>0</v>
      </c>
      <c r="W86" s="25">
        <v>0</v>
      </c>
      <c r="X86" s="25">
        <v>0.73599999999999999</v>
      </c>
      <c r="Y86" s="25">
        <v>0.73699999999999999</v>
      </c>
      <c r="Z86" s="25">
        <v>0</v>
      </c>
      <c r="AA86" s="25">
        <v>0.77400000000000002</v>
      </c>
      <c r="AB86" s="25">
        <v>0</v>
      </c>
      <c r="AC86" s="25">
        <v>0</v>
      </c>
      <c r="AD86" s="25">
        <v>0</v>
      </c>
      <c r="AE86" s="25">
        <v>0.81100000000000005</v>
      </c>
      <c r="AF86" s="25">
        <v>0.747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0.73299999999999998</v>
      </c>
      <c r="AO86" s="25">
        <v>0</v>
      </c>
      <c r="AP86" s="25">
        <v>0.44700000000000001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0.74199999999999999</v>
      </c>
      <c r="AX86" s="25">
        <v>0.627</v>
      </c>
      <c r="AY86" s="25">
        <v>0</v>
      </c>
      <c r="AZ86" s="25">
        <v>0</v>
      </c>
      <c r="BA86" s="25">
        <v>0</v>
      </c>
      <c r="BB86" s="25">
        <v>0</v>
      </c>
      <c r="BC86" s="25">
        <v>0.60199999999999998</v>
      </c>
      <c r="BD86" s="25">
        <v>0</v>
      </c>
      <c r="BE86" s="25">
        <v>0</v>
      </c>
      <c r="BF86" s="25">
        <v>0</v>
      </c>
      <c r="BG86" s="25">
        <v>0</v>
      </c>
      <c r="BH86" s="25">
        <v>0</v>
      </c>
      <c r="BI86" s="25">
        <v>0</v>
      </c>
      <c r="BJ86" s="25">
        <v>0</v>
      </c>
      <c r="BK86" s="25">
        <v>-8.5000000000000006E-2</v>
      </c>
      <c r="BL86" s="25">
        <v>0</v>
      </c>
      <c r="BM86" s="25">
        <v>0</v>
      </c>
      <c r="BN86" s="25">
        <v>0.44700000000000001</v>
      </c>
      <c r="BO86" s="25">
        <v>0</v>
      </c>
      <c r="BP86" s="25">
        <v>0.14599999999999999</v>
      </c>
      <c r="BQ86" s="25">
        <v>0</v>
      </c>
      <c r="BR86" s="25">
        <v>0</v>
      </c>
      <c r="BS86" s="25">
        <v>0</v>
      </c>
      <c r="BT86" s="25">
        <v>0</v>
      </c>
      <c r="BU86" s="25">
        <v>0.53600000000000003</v>
      </c>
      <c r="BV86" s="25">
        <v>0.45600000000000002</v>
      </c>
      <c r="BW86" s="25">
        <v>0</v>
      </c>
      <c r="BX86" s="25">
        <v>-8.0000000000000002E-3</v>
      </c>
      <c r="BY86" s="25">
        <v>6.9000000000000006E-2</v>
      </c>
      <c r="BZ86" s="25">
        <v>0.47099999999999997</v>
      </c>
      <c r="CA86" s="25">
        <v>0</v>
      </c>
      <c r="CB86" s="25">
        <v>0</v>
      </c>
      <c r="CC86" s="25">
        <v>0</v>
      </c>
      <c r="CD86" s="25">
        <v>0.35299999999999998</v>
      </c>
      <c r="CE86" s="25">
        <v>0.45500000000000002</v>
      </c>
      <c r="CF86" s="25">
        <v>0</v>
      </c>
      <c r="CG86" s="25">
        <v>0</v>
      </c>
      <c r="CH86" s="25">
        <v>0</v>
      </c>
      <c r="CI86" s="25">
        <v>0</v>
      </c>
      <c r="CJ86" s="25">
        <v>0.60899999999999999</v>
      </c>
      <c r="CK86" s="25">
        <v>0</v>
      </c>
      <c r="CL86" s="25">
        <v>0</v>
      </c>
      <c r="CM86" s="25">
        <v>0</v>
      </c>
      <c r="CN86" s="25">
        <v>0</v>
      </c>
      <c r="CO86" s="25">
        <v>0</v>
      </c>
      <c r="CP86" s="25">
        <v>0</v>
      </c>
      <c r="CQ86" s="25">
        <v>0</v>
      </c>
      <c r="CR86" s="25">
        <v>0.59199999999999997</v>
      </c>
      <c r="CS86" s="25">
        <v>0.71699999999999997</v>
      </c>
      <c r="CT86" s="25">
        <v>0</v>
      </c>
      <c r="DO86" s="25">
        <v>0.88</v>
      </c>
      <c r="DP86" s="25">
        <v>0.46</v>
      </c>
      <c r="DQ86" s="25">
        <v>0</v>
      </c>
      <c r="DS86" s="25">
        <v>0.55000000000000004</v>
      </c>
      <c r="DT86" s="25">
        <v>0</v>
      </c>
      <c r="DV86" s="25">
        <v>0</v>
      </c>
    </row>
    <row r="88" spans="1:126" x14ac:dyDescent="0.25">
      <c r="A88" s="44"/>
      <c r="B88" s="44"/>
      <c r="C88" s="44"/>
      <c r="D88" s="44"/>
    </row>
  </sheetData>
  <autoFilter ref="A1:Q86"/>
  <sortState ref="A2:ED78">
    <sortCondition ref="C2:C78"/>
    <sortCondition ref="A2:A78"/>
  </sortState>
  <phoneticPr fontId="5" type="noConversion"/>
  <pageMargins left="0.7" right="0.7" top="0.78740157499999996" bottom="0.78740157499999996" header="0.3" footer="0.3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8"/>
  <sheetViews>
    <sheetView workbookViewId="0"/>
  </sheetViews>
  <sheetFormatPr baseColWidth="10" defaultColWidth="11.42578125" defaultRowHeight="15" x14ac:dyDescent="0.25"/>
  <cols>
    <col min="1" max="1" width="16" style="36" customWidth="1"/>
    <col min="2" max="16384" width="11.42578125" style="36"/>
  </cols>
  <sheetData>
    <row r="1" spans="1:214" s="35" customFormat="1" ht="15.75" thickBot="1" x14ac:dyDescent="0.3">
      <c r="A1" s="20" t="s">
        <v>4</v>
      </c>
      <c r="B1" s="20" t="s">
        <v>51</v>
      </c>
      <c r="C1" s="20" t="s">
        <v>52</v>
      </c>
      <c r="D1" s="20" t="s">
        <v>53</v>
      </c>
      <c r="E1" s="20" t="s">
        <v>357</v>
      </c>
      <c r="F1" s="20" t="s">
        <v>9</v>
      </c>
      <c r="G1" s="20" t="s">
        <v>54</v>
      </c>
      <c r="H1" s="20" t="s">
        <v>152</v>
      </c>
      <c r="I1" s="20" t="s">
        <v>13</v>
      </c>
      <c r="J1" s="22" t="s">
        <v>15</v>
      </c>
      <c r="K1" s="20" t="s">
        <v>17</v>
      </c>
      <c r="L1" s="20" t="s">
        <v>358</v>
      </c>
      <c r="M1" s="20" t="s">
        <v>46</v>
      </c>
      <c r="N1" s="20" t="s">
        <v>170</v>
      </c>
      <c r="O1" s="32" t="s">
        <v>99</v>
      </c>
      <c r="P1" s="33" t="s">
        <v>196</v>
      </c>
      <c r="Q1" s="33" t="s">
        <v>425</v>
      </c>
      <c r="R1" s="33" t="s">
        <v>421</v>
      </c>
      <c r="S1" s="33" t="s">
        <v>100</v>
      </c>
      <c r="T1" s="33" t="s">
        <v>197</v>
      </c>
      <c r="U1" s="33" t="s">
        <v>198</v>
      </c>
      <c r="V1" s="33" t="s">
        <v>199</v>
      </c>
      <c r="W1" s="33" t="s">
        <v>422</v>
      </c>
      <c r="X1" s="33" t="s">
        <v>101</v>
      </c>
      <c r="Y1" s="33" t="s">
        <v>201</v>
      </c>
      <c r="Z1" s="33" t="s">
        <v>102</v>
      </c>
      <c r="AA1" s="33" t="s">
        <v>103</v>
      </c>
      <c r="AB1" s="33" t="s">
        <v>104</v>
      </c>
      <c r="AC1" s="33" t="s">
        <v>202</v>
      </c>
      <c r="AD1" s="33" t="s">
        <v>203</v>
      </c>
      <c r="AE1" s="33" t="s">
        <v>423</v>
      </c>
      <c r="AF1" s="33" t="s">
        <v>424</v>
      </c>
      <c r="AG1" s="33" t="s">
        <v>160</v>
      </c>
      <c r="AH1" s="33" t="s">
        <v>195</v>
      </c>
      <c r="AI1" s="33" t="s">
        <v>157</v>
      </c>
      <c r="AJ1" s="33" t="s">
        <v>158</v>
      </c>
      <c r="AK1" s="31" t="s">
        <v>105</v>
      </c>
      <c r="AL1" s="31" t="s">
        <v>206</v>
      </c>
      <c r="AM1" s="31" t="s">
        <v>207</v>
      </c>
      <c r="AN1" s="31" t="s">
        <v>208</v>
      </c>
      <c r="AO1" s="31" t="s">
        <v>209</v>
      </c>
      <c r="AP1" s="31" t="s">
        <v>106</v>
      </c>
      <c r="AQ1" s="31" t="s">
        <v>210</v>
      </c>
      <c r="AR1" s="31" t="s">
        <v>107</v>
      </c>
      <c r="AS1" s="31" t="s">
        <v>108</v>
      </c>
      <c r="AT1" s="31" t="s">
        <v>109</v>
      </c>
      <c r="AU1" s="31" t="s">
        <v>211</v>
      </c>
      <c r="AV1" s="31" t="s">
        <v>212</v>
      </c>
      <c r="AW1" s="31" t="s">
        <v>213</v>
      </c>
      <c r="AX1" s="31" t="s">
        <v>214</v>
      </c>
      <c r="AY1" s="31" t="s">
        <v>163</v>
      </c>
      <c r="AZ1" s="31" t="s">
        <v>215</v>
      </c>
      <c r="BA1" s="31" t="s">
        <v>216</v>
      </c>
      <c r="BB1" s="31" t="s">
        <v>217</v>
      </c>
      <c r="BC1" s="31" t="s">
        <v>218</v>
      </c>
      <c r="BD1" s="31" t="s">
        <v>219</v>
      </c>
      <c r="BE1" s="31" t="s">
        <v>220</v>
      </c>
      <c r="BF1" s="31" t="s">
        <v>221</v>
      </c>
      <c r="BG1" s="31" t="s">
        <v>222</v>
      </c>
      <c r="BH1" s="31" t="s">
        <v>223</v>
      </c>
      <c r="BI1" s="31" t="s">
        <v>224</v>
      </c>
      <c r="BJ1" s="31" t="s">
        <v>225</v>
      </c>
      <c r="BK1" s="31" t="s">
        <v>226</v>
      </c>
      <c r="BL1" s="31" t="s">
        <v>227</v>
      </c>
      <c r="BM1" s="31" t="s">
        <v>228</v>
      </c>
      <c r="BN1" s="31" t="s">
        <v>229</v>
      </c>
      <c r="BO1" s="31" t="s">
        <v>230</v>
      </c>
      <c r="BP1" s="31" t="s">
        <v>231</v>
      </c>
      <c r="BQ1" s="31" t="s">
        <v>377</v>
      </c>
      <c r="BR1" s="31" t="s">
        <v>378</v>
      </c>
      <c r="BS1" s="31" t="s">
        <v>379</v>
      </c>
      <c r="BT1" s="31" t="s">
        <v>380</v>
      </c>
      <c r="BU1" s="31" t="s">
        <v>381</v>
      </c>
      <c r="BV1" s="31" t="s">
        <v>382</v>
      </c>
      <c r="BW1" s="31" t="s">
        <v>383</v>
      </c>
      <c r="BX1" s="31" t="s">
        <v>384</v>
      </c>
      <c r="BY1" s="31" t="s">
        <v>385</v>
      </c>
      <c r="BZ1" s="31" t="s">
        <v>386</v>
      </c>
      <c r="CA1" s="31" t="s">
        <v>387</v>
      </c>
      <c r="CB1" s="31" t="s">
        <v>388</v>
      </c>
      <c r="CC1" s="31" t="s">
        <v>389</v>
      </c>
      <c r="CD1" s="31" t="s">
        <v>390</v>
      </c>
      <c r="CE1" s="31" t="s">
        <v>391</v>
      </c>
      <c r="CF1" s="31" t="s">
        <v>392</v>
      </c>
      <c r="CG1" s="31" t="s">
        <v>393</v>
      </c>
      <c r="CH1" s="31" t="s">
        <v>394</v>
      </c>
      <c r="CI1" s="31" t="s">
        <v>395</v>
      </c>
      <c r="CJ1" s="31" t="s">
        <v>396</v>
      </c>
      <c r="CK1" s="31" t="s">
        <v>397</v>
      </c>
      <c r="CL1" s="31" t="s">
        <v>398</v>
      </c>
      <c r="CM1" s="31" t="s">
        <v>399</v>
      </c>
      <c r="CN1" s="31" t="s">
        <v>400</v>
      </c>
      <c r="CO1" s="31" t="s">
        <v>401</v>
      </c>
      <c r="CP1" s="31" t="s">
        <v>402</v>
      </c>
      <c r="CQ1" s="31" t="s">
        <v>403</v>
      </c>
      <c r="CR1" s="31" t="s">
        <v>404</v>
      </c>
      <c r="CS1" s="31" t="s">
        <v>405</v>
      </c>
      <c r="CT1" s="31" t="s">
        <v>406</v>
      </c>
      <c r="CU1" s="31" t="s">
        <v>407</v>
      </c>
      <c r="CV1" s="31" t="s">
        <v>232</v>
      </c>
      <c r="CW1" s="31" t="s">
        <v>233</v>
      </c>
      <c r="CX1" s="31" t="s">
        <v>234</v>
      </c>
      <c r="CY1" s="31" t="s">
        <v>235</v>
      </c>
      <c r="CZ1" s="31" t="s">
        <v>110</v>
      </c>
      <c r="DA1" s="31" t="s">
        <v>236</v>
      </c>
      <c r="DB1" s="31" t="s">
        <v>111</v>
      </c>
      <c r="DC1" s="31" t="s">
        <v>112</v>
      </c>
      <c r="DD1" s="31" t="s">
        <v>113</v>
      </c>
      <c r="DE1" s="31" t="s">
        <v>237</v>
      </c>
      <c r="DF1" s="31" t="s">
        <v>238</v>
      </c>
      <c r="DG1" s="31" t="s">
        <v>239</v>
      </c>
      <c r="DH1" s="31" t="s">
        <v>240</v>
      </c>
      <c r="DI1" s="31" t="s">
        <v>166</v>
      </c>
      <c r="DJ1" s="31" t="s">
        <v>241</v>
      </c>
      <c r="DK1" s="31" t="s">
        <v>242</v>
      </c>
      <c r="DL1" s="31" t="s">
        <v>243</v>
      </c>
      <c r="DM1" s="34" t="s">
        <v>244</v>
      </c>
      <c r="DN1" s="31" t="s">
        <v>245</v>
      </c>
      <c r="DO1" s="31" t="s">
        <v>246</v>
      </c>
      <c r="DP1" s="31" t="s">
        <v>247</v>
      </c>
      <c r="DQ1" s="31" t="s">
        <v>248</v>
      </c>
      <c r="DR1" s="31" t="s">
        <v>249</v>
      </c>
      <c r="DS1" s="31" t="s">
        <v>250</v>
      </c>
      <c r="DT1" s="31" t="s">
        <v>251</v>
      </c>
      <c r="DU1" s="31" t="s">
        <v>252</v>
      </c>
      <c r="DV1" s="31" t="s">
        <v>164</v>
      </c>
      <c r="DW1" s="31" t="s">
        <v>253</v>
      </c>
      <c r="DX1" s="31" t="s">
        <v>254</v>
      </c>
      <c r="DY1" s="31" t="s">
        <v>255</v>
      </c>
      <c r="DZ1" s="31" t="s">
        <v>256</v>
      </c>
      <c r="EA1" s="31" t="s">
        <v>257</v>
      </c>
      <c r="EB1" s="31" t="s">
        <v>258</v>
      </c>
      <c r="EC1" s="31" t="s">
        <v>259</v>
      </c>
      <c r="ED1" s="31" t="s">
        <v>260</v>
      </c>
      <c r="EE1" s="31" t="s">
        <v>261</v>
      </c>
      <c r="EF1" s="31" t="s">
        <v>262</v>
      </c>
      <c r="EG1" s="31" t="s">
        <v>263</v>
      </c>
      <c r="EH1" s="31" t="s">
        <v>264</v>
      </c>
      <c r="EI1" s="31" t="s">
        <v>265</v>
      </c>
      <c r="EJ1" s="31" t="s">
        <v>266</v>
      </c>
      <c r="EK1" s="31" t="s">
        <v>267</v>
      </c>
      <c r="EL1" s="31" t="s">
        <v>268</v>
      </c>
      <c r="EM1" s="31" t="s">
        <v>269</v>
      </c>
      <c r="EN1" s="31" t="s">
        <v>270</v>
      </c>
      <c r="EO1" s="31" t="s">
        <v>271</v>
      </c>
      <c r="EP1" s="31" t="s">
        <v>272</v>
      </c>
      <c r="EQ1" s="31" t="s">
        <v>273</v>
      </c>
      <c r="ER1" s="31" t="s">
        <v>274</v>
      </c>
      <c r="ES1" s="31" t="s">
        <v>275</v>
      </c>
      <c r="ET1" s="31" t="s">
        <v>408</v>
      </c>
      <c r="EU1" s="31" t="s">
        <v>409</v>
      </c>
      <c r="EV1" s="31" t="s">
        <v>410</v>
      </c>
      <c r="EW1" s="31" t="s">
        <v>411</v>
      </c>
      <c r="EX1" s="31" t="s">
        <v>412</v>
      </c>
      <c r="EY1" s="31" t="s">
        <v>413</v>
      </c>
      <c r="EZ1" s="31" t="s">
        <v>414</v>
      </c>
      <c r="FA1" s="31" t="s">
        <v>415</v>
      </c>
      <c r="FB1" s="31" t="s">
        <v>416</v>
      </c>
      <c r="FC1" s="31" t="s">
        <v>417</v>
      </c>
      <c r="FD1" s="31" t="s">
        <v>276</v>
      </c>
      <c r="FE1" s="31" t="s">
        <v>114</v>
      </c>
      <c r="FF1" s="31" t="s">
        <v>115</v>
      </c>
      <c r="FG1" s="31" t="s">
        <v>116</v>
      </c>
      <c r="FH1" s="31" t="s">
        <v>277</v>
      </c>
      <c r="FI1" s="31" t="s">
        <v>278</v>
      </c>
      <c r="FJ1" s="31" t="s">
        <v>279</v>
      </c>
      <c r="FK1" s="31" t="s">
        <v>280</v>
      </c>
      <c r="FL1" s="31" t="s">
        <v>167</v>
      </c>
      <c r="FM1" s="31" t="s">
        <v>281</v>
      </c>
      <c r="FN1" s="31" t="s">
        <v>282</v>
      </c>
      <c r="FO1" s="31" t="s">
        <v>283</v>
      </c>
      <c r="FP1" s="31" t="s">
        <v>284</v>
      </c>
      <c r="FQ1" s="31" t="s">
        <v>285</v>
      </c>
      <c r="FR1" s="31" t="s">
        <v>286</v>
      </c>
      <c r="FS1" s="31" t="s">
        <v>287</v>
      </c>
      <c r="FT1" s="31" t="s">
        <v>288</v>
      </c>
      <c r="FU1" s="31" t="s">
        <v>117</v>
      </c>
      <c r="FV1" s="31" t="s">
        <v>118</v>
      </c>
      <c r="FW1" s="31" t="s">
        <v>289</v>
      </c>
      <c r="FX1" s="31" t="s">
        <v>290</v>
      </c>
      <c r="FY1" s="31" t="s">
        <v>291</v>
      </c>
      <c r="FZ1" s="31" t="s">
        <v>292</v>
      </c>
      <c r="GA1" s="31" t="s">
        <v>293</v>
      </c>
      <c r="GB1" s="31" t="s">
        <v>119</v>
      </c>
      <c r="GC1" s="31" t="s">
        <v>294</v>
      </c>
      <c r="GD1" s="31" t="s">
        <v>295</v>
      </c>
      <c r="GE1" s="31" t="s">
        <v>296</v>
      </c>
      <c r="GF1" s="31" t="s">
        <v>297</v>
      </c>
      <c r="GG1" s="31" t="s">
        <v>168</v>
      </c>
      <c r="GH1" s="31" t="s">
        <v>298</v>
      </c>
      <c r="GI1" s="31" t="s">
        <v>299</v>
      </c>
      <c r="GJ1" s="31" t="s">
        <v>300</v>
      </c>
      <c r="GK1" s="31" t="s">
        <v>301</v>
      </c>
      <c r="GL1" s="31" t="s">
        <v>169</v>
      </c>
      <c r="GM1" s="31" t="s">
        <v>302</v>
      </c>
      <c r="GN1" s="31" t="s">
        <v>303</v>
      </c>
      <c r="GO1" s="31" t="s">
        <v>304</v>
      </c>
      <c r="GP1" s="31" t="s">
        <v>305</v>
      </c>
      <c r="GQ1" s="31" t="s">
        <v>306</v>
      </c>
      <c r="GR1" s="31" t="s">
        <v>307</v>
      </c>
      <c r="GS1" s="31" t="s">
        <v>165</v>
      </c>
      <c r="GT1" s="31" t="s">
        <v>418</v>
      </c>
      <c r="GU1" s="31" t="s">
        <v>419</v>
      </c>
      <c r="GV1" s="31" t="s">
        <v>420</v>
      </c>
      <c r="GW1" s="31"/>
      <c r="GX1" s="31"/>
      <c r="GY1" s="31"/>
      <c r="GZ1" s="31"/>
      <c r="HA1" s="31"/>
      <c r="HB1" s="31"/>
      <c r="HC1" s="31"/>
      <c r="HD1" s="31"/>
      <c r="HE1" s="31"/>
      <c r="HF1" s="31"/>
    </row>
    <row r="2" spans="1:214" x14ac:dyDescent="0.25">
      <c r="A2" s="36" t="s">
        <v>611</v>
      </c>
      <c r="B2" s="36">
        <v>60</v>
      </c>
      <c r="C2" s="36">
        <v>2019</v>
      </c>
      <c r="D2" s="36" t="s">
        <v>465</v>
      </c>
      <c r="E2" s="36" t="s">
        <v>373</v>
      </c>
      <c r="F2" s="36" t="s">
        <v>367</v>
      </c>
      <c r="G2" s="36">
        <v>1</v>
      </c>
      <c r="H2" s="36" t="s">
        <v>364</v>
      </c>
      <c r="I2" s="36">
        <v>1925</v>
      </c>
      <c r="J2" s="41">
        <v>58</v>
      </c>
      <c r="K2" s="41">
        <v>19</v>
      </c>
      <c r="L2" s="36">
        <v>0</v>
      </c>
      <c r="M2" s="36">
        <v>5</v>
      </c>
      <c r="O2">
        <v>0.53044649201666305</v>
      </c>
      <c r="P2">
        <v>0.17471452868259801</v>
      </c>
      <c r="Q2">
        <v>0.391943439180992</v>
      </c>
      <c r="R2">
        <v>7.2279454547931096E-2</v>
      </c>
      <c r="S2">
        <v>0.26990461535308302</v>
      </c>
      <c r="T2">
        <v>0.121599425288547</v>
      </c>
      <c r="U2">
        <v>9.4298751596098199E-2</v>
      </c>
      <c r="V2">
        <v>0.456251933348787</v>
      </c>
      <c r="W2">
        <v>7.3781964775158193E-2</v>
      </c>
      <c r="X2">
        <v>0.27398514585209799</v>
      </c>
      <c r="Y2">
        <v>0.23543388349317601</v>
      </c>
      <c r="Z2">
        <v>0.45425670740159801</v>
      </c>
      <c r="AA2">
        <v>0.30771674063355697</v>
      </c>
      <c r="AB2">
        <v>3.9081849187168498E-2</v>
      </c>
      <c r="AC2">
        <v>-3.2963714358715798E-2</v>
      </c>
      <c r="AD2">
        <v>0.18644885838741199</v>
      </c>
      <c r="AE2">
        <v>-1.9843827479957901E-2</v>
      </c>
      <c r="AF2">
        <v>2.1704692754090898E-2</v>
      </c>
      <c r="AG2">
        <v>4.5716286813117998E-2</v>
      </c>
      <c r="AH2">
        <v>0.17703260835214801</v>
      </c>
      <c r="AI2">
        <v>0.63838603425740903</v>
      </c>
      <c r="AJ2">
        <v>6.9827631056570694E-2</v>
      </c>
      <c r="AK2">
        <v>0.267310709674136</v>
      </c>
      <c r="AL2">
        <v>0.144621184098533</v>
      </c>
      <c r="AM2">
        <v>0.11963187533705</v>
      </c>
      <c r="AN2">
        <v>0.44321373186912799</v>
      </c>
      <c r="AO2">
        <v>0.119113172656931</v>
      </c>
      <c r="AP2">
        <v>0.39646813761310501</v>
      </c>
      <c r="AQ2">
        <v>0.35319273578735599</v>
      </c>
      <c r="AR2">
        <v>0.39890052452838098</v>
      </c>
      <c r="AS2">
        <v>0.22232623058791401</v>
      </c>
      <c r="AT2">
        <v>0.14423637239068701</v>
      </c>
      <c r="AU2">
        <v>3.3192416162690398E-2</v>
      </c>
      <c r="AV2">
        <v>0.314500055898286</v>
      </c>
      <c r="AW2">
        <v>-3.5881844640554099E-2</v>
      </c>
      <c r="AX2">
        <v>7.6584174133645502E-2</v>
      </c>
      <c r="AY2">
        <v>4.6423642636685199E-2</v>
      </c>
      <c r="AZ2">
        <v>0.13460231543241999</v>
      </c>
      <c r="BA2">
        <v>1.12477314797052E-2</v>
      </c>
      <c r="BB2">
        <v>0.141157815934944</v>
      </c>
      <c r="BC2">
        <v>0.34733228362956903</v>
      </c>
      <c r="BD2">
        <v>2.42430292478037E-2</v>
      </c>
      <c r="BE2">
        <v>0.18413373302876501</v>
      </c>
      <c r="BF2">
        <v>5.9353673841882802E-2</v>
      </c>
      <c r="BG2">
        <v>8.3167423385890005E-2</v>
      </c>
      <c r="BH2">
        <v>0.12806855594865699</v>
      </c>
      <c r="BI2">
        <v>0.25298137283796601</v>
      </c>
      <c r="BJ2">
        <v>0.15979477332992501</v>
      </c>
      <c r="BK2">
        <v>2.5425405801308101E-2</v>
      </c>
      <c r="BL2">
        <v>-4.45234139834155E-2</v>
      </c>
      <c r="BM2">
        <v>0.107497359442965</v>
      </c>
      <c r="BN2">
        <v>-2.7433508609597101E-2</v>
      </c>
      <c r="BO2">
        <v>-1.11649548200775E-2</v>
      </c>
      <c r="BP2">
        <v>-2.0366138526804601E-3</v>
      </c>
      <c r="BQ2">
        <v>0.10407000312754799</v>
      </c>
      <c r="BR2">
        <v>0.222524233329885</v>
      </c>
      <c r="BS2">
        <v>9.10912118402325E-2</v>
      </c>
      <c r="BT2">
        <v>8.9222392425734806E-2</v>
      </c>
      <c r="BU2">
        <v>0.36691810272105602</v>
      </c>
      <c r="BV2">
        <v>0.14694683980386</v>
      </c>
      <c r="BW2">
        <v>0.34477289486121598</v>
      </c>
      <c r="BX2">
        <v>0.35339719757193699</v>
      </c>
      <c r="BY2">
        <v>0.36776696248242802</v>
      </c>
      <c r="BZ2">
        <v>0.18487444137981399</v>
      </c>
      <c r="CA2">
        <v>0.17026601355174101</v>
      </c>
      <c r="CB2">
        <v>3.3858906072526097E-2</v>
      </c>
      <c r="CC2">
        <v>0.33777774072768701</v>
      </c>
      <c r="CD2">
        <v>-2.4806220223894299E-2</v>
      </c>
      <c r="CE2">
        <v>8.6423110181444607E-2</v>
      </c>
      <c r="CF2">
        <v>6.67670724036587E-2</v>
      </c>
      <c r="CG2">
        <v>2.9073289546668001E-2</v>
      </c>
      <c r="CH2">
        <v>-3.6188057140793699E-2</v>
      </c>
      <c r="CI2">
        <v>0.23523052490495899</v>
      </c>
      <c r="CJ2">
        <v>7.1416438244938998E-2</v>
      </c>
      <c r="CK2">
        <v>0.16261422432358399</v>
      </c>
      <c r="CL2">
        <v>4.41624511684739E-2</v>
      </c>
      <c r="CM2">
        <v>1.1135010093327799E-2</v>
      </c>
      <c r="CN2">
        <v>7.7078731018119406E-2</v>
      </c>
      <c r="CO2">
        <v>7.5884026689550702E-2</v>
      </c>
      <c r="CP2">
        <v>5.9109693187355698E-2</v>
      </c>
      <c r="CQ2">
        <v>0.125829277174559</v>
      </c>
      <c r="CR2">
        <v>1.9390151173237599E-2</v>
      </c>
      <c r="CS2">
        <v>0.159803302931007</v>
      </c>
      <c r="CT2">
        <v>0.26958237432895699</v>
      </c>
      <c r="CU2">
        <v>0.158007279880477</v>
      </c>
      <c r="CV2">
        <v>0.25063583947056001</v>
      </c>
      <c r="CW2">
        <v>9.9927713407261198E-2</v>
      </c>
      <c r="CX2">
        <v>0.308313623181798</v>
      </c>
      <c r="CY2">
        <v>1.5427808205341001E-2</v>
      </c>
      <c r="CZ2">
        <v>0.19421126647105699</v>
      </c>
      <c r="DA2">
        <v>0.167381784454052</v>
      </c>
      <c r="DB2">
        <v>0.34158950132765797</v>
      </c>
      <c r="DC2">
        <v>0.29764332601291099</v>
      </c>
      <c r="DD2">
        <v>5.7200174354719698E-2</v>
      </c>
      <c r="DE2">
        <v>-4.5450189415005898E-3</v>
      </c>
      <c r="DF2">
        <v>0.13428000995971501</v>
      </c>
      <c r="DG2">
        <v>1.33883424917738E-2</v>
      </c>
      <c r="DH2">
        <v>-2.4497174181794899E-2</v>
      </c>
      <c r="DI2">
        <v>9.5345715221931096E-2</v>
      </c>
      <c r="DJ2">
        <v>-3.1539774381863998E-2</v>
      </c>
      <c r="DK2">
        <v>0.27482897109917798</v>
      </c>
      <c r="DL2">
        <v>-4.05486568383394E-2</v>
      </c>
      <c r="DM2">
        <v>0.12885397369794099</v>
      </c>
      <c r="DN2">
        <v>0.14079749324223001</v>
      </c>
      <c r="DO2">
        <v>0.24943030565582699</v>
      </c>
      <c r="DP2">
        <v>0.20948895453494801</v>
      </c>
      <c r="DQ2">
        <v>2.7199188154548399E-3</v>
      </c>
      <c r="DR2">
        <v>-2.3612475835806401E-2</v>
      </c>
      <c r="DS2">
        <v>3.2281994267135197E-2</v>
      </c>
      <c r="DT2">
        <v>-1.7085344204491201E-2</v>
      </c>
      <c r="DU2">
        <v>-6.14623793759713E-2</v>
      </c>
      <c r="DV2">
        <v>-1.4759571340515799E-3</v>
      </c>
      <c r="DW2">
        <v>0.171811348779802</v>
      </c>
      <c r="DX2">
        <v>0.151501057852306</v>
      </c>
      <c r="DY2">
        <v>8.3585256149422305E-2</v>
      </c>
      <c r="DZ2">
        <v>8.23888576348316E-2</v>
      </c>
      <c r="EA2">
        <v>0.109839198383492</v>
      </c>
      <c r="EB2">
        <v>0.111589621931293</v>
      </c>
      <c r="EC2">
        <v>0.16122945056010901</v>
      </c>
      <c r="ED2">
        <v>0.154146559522504</v>
      </c>
      <c r="EE2">
        <v>5.7369483365782403E-2</v>
      </c>
      <c r="EF2">
        <v>7.9675991054926107E-2</v>
      </c>
      <c r="EG2">
        <v>0.202803075939121</v>
      </c>
      <c r="EH2">
        <v>0.192815415613911</v>
      </c>
      <c r="EI2">
        <v>7.7944866689012099E-2</v>
      </c>
      <c r="EJ2">
        <v>0.32724787162199898</v>
      </c>
      <c r="EK2">
        <v>0.26207165618428302</v>
      </c>
      <c r="EL2">
        <v>0.48260162021038699</v>
      </c>
      <c r="EM2">
        <v>0.282405545553084</v>
      </c>
      <c r="EN2">
        <v>7.8375331232572204E-2</v>
      </c>
      <c r="EO2">
        <v>1.5772852240906299E-2</v>
      </c>
      <c r="EP2">
        <v>0.20277415093296799</v>
      </c>
      <c r="EQ2">
        <v>-2.6584350135950001E-2</v>
      </c>
      <c r="ER2">
        <v>4.0723854867638597E-2</v>
      </c>
      <c r="ES2">
        <v>9.6438944986692796E-2</v>
      </c>
      <c r="ET2">
        <v>3.8870902096474098E-2</v>
      </c>
      <c r="EU2">
        <v>2.9619404490421102E-2</v>
      </c>
      <c r="EV2">
        <v>0.128278124499659</v>
      </c>
      <c r="EW2">
        <v>6.03075336298389E-2</v>
      </c>
      <c r="EX2">
        <v>8.5872429740735001E-2</v>
      </c>
      <c r="EY2">
        <v>4.0999087130104403E-2</v>
      </c>
      <c r="EZ2">
        <v>0.11487391296902801</v>
      </c>
      <c r="FA2">
        <v>0.12493957640112199</v>
      </c>
      <c r="FB2">
        <v>0.27688836652665699</v>
      </c>
      <c r="FC2">
        <v>9.8529988860539999E-2</v>
      </c>
      <c r="FD2">
        <v>0.288024931684567</v>
      </c>
      <c r="FE2">
        <v>0.30641287341560702</v>
      </c>
      <c r="FF2">
        <v>0.19704012071615601</v>
      </c>
      <c r="FG2">
        <v>0.16691889957648301</v>
      </c>
      <c r="FH2">
        <v>5.00886058788814E-2</v>
      </c>
      <c r="FI2">
        <v>0.29558763687962097</v>
      </c>
      <c r="FJ2">
        <v>-1.1839532019310801E-3</v>
      </c>
      <c r="FK2">
        <v>5.7585014557454302E-2</v>
      </c>
      <c r="FL2">
        <v>8.0354551405849101E-2</v>
      </c>
      <c r="FM2">
        <v>0.28831094951880698</v>
      </c>
      <c r="FN2">
        <v>0.198309609311737</v>
      </c>
      <c r="FO2">
        <v>0.17947596271274099</v>
      </c>
      <c r="FP2">
        <v>1.2768178123329E-2</v>
      </c>
      <c r="FQ2">
        <v>0.37858122650391801</v>
      </c>
      <c r="FR2">
        <v>-4.81513442856061E-2</v>
      </c>
      <c r="FS2">
        <v>1.7264648850581502E-2</v>
      </c>
      <c r="FT2">
        <v>1.68586048886483E-2</v>
      </c>
      <c r="FU2">
        <v>0.41043561808301399</v>
      </c>
      <c r="FV2">
        <v>0.13338400490871299</v>
      </c>
      <c r="FW2">
        <v>1.3698975185275899E-2</v>
      </c>
      <c r="FX2">
        <v>0.21347938028791599</v>
      </c>
      <c r="FY2">
        <v>3.7781859400370599E-2</v>
      </c>
      <c r="FZ2">
        <v>5.1365718960207397E-2</v>
      </c>
      <c r="GA2">
        <v>9.1498128477921895E-2</v>
      </c>
      <c r="GB2">
        <v>7.1364076744701799E-2</v>
      </c>
      <c r="GC2">
        <v>3.1617151284663803E-2</v>
      </c>
      <c r="GD2">
        <v>0.123147429402474</v>
      </c>
      <c r="GE2">
        <v>1.5480943781353999E-2</v>
      </c>
      <c r="GF2">
        <v>3.6943248897234202E-2</v>
      </c>
      <c r="GG2">
        <v>3.6783189603613299E-2</v>
      </c>
      <c r="GH2">
        <v>0.27005281805432402</v>
      </c>
      <c r="GI2">
        <v>0.300025692034113</v>
      </c>
      <c r="GJ2">
        <v>9.4574131801785505E-2</v>
      </c>
      <c r="GK2">
        <v>0.110024597168215</v>
      </c>
      <c r="GL2">
        <v>0.145769004642337</v>
      </c>
      <c r="GM2">
        <v>4.6198885795915003E-2</v>
      </c>
      <c r="GN2">
        <v>0.121262884634525</v>
      </c>
      <c r="GO2">
        <v>0.109445553046042</v>
      </c>
      <c r="GP2">
        <v>0.263346853608181</v>
      </c>
      <c r="GQ2">
        <v>-9.5043265272770992E-3</v>
      </c>
      <c r="GR2">
        <v>7.4742338407842293E-2</v>
      </c>
      <c r="GS2">
        <v>5.3623446335123802E-2</v>
      </c>
      <c r="GT2">
        <v>0.20064207147819099</v>
      </c>
      <c r="GU2">
        <v>0.12210419082363699</v>
      </c>
      <c r="GV2">
        <v>0.139820270148801</v>
      </c>
    </row>
    <row r="3" spans="1:214" x14ac:dyDescent="0.25">
      <c r="A3" s="36" t="s">
        <v>596</v>
      </c>
      <c r="B3" s="36">
        <v>61</v>
      </c>
      <c r="C3" s="36">
        <v>2019</v>
      </c>
      <c r="D3" s="36" t="s">
        <v>371</v>
      </c>
      <c r="E3" s="36" t="s">
        <v>373</v>
      </c>
      <c r="F3" s="36" t="s">
        <v>367</v>
      </c>
      <c r="G3" s="36">
        <v>1</v>
      </c>
      <c r="H3" s="36" t="s">
        <v>369</v>
      </c>
      <c r="I3" s="36">
        <v>287</v>
      </c>
      <c r="J3" s="36">
        <v>87.8</v>
      </c>
      <c r="K3" s="41">
        <v>19.559999999999999</v>
      </c>
      <c r="L3" s="36">
        <v>0</v>
      </c>
      <c r="M3" s="36">
        <v>5</v>
      </c>
      <c r="O3">
        <v>0.63281660740338497</v>
      </c>
      <c r="P3">
        <v>0.26629972717325301</v>
      </c>
      <c r="Q3">
        <v>0.48612527450325999</v>
      </c>
      <c r="R3">
        <v>3.8591178156016599E-2</v>
      </c>
      <c r="S3">
        <v>0.45473752229946202</v>
      </c>
      <c r="T3">
        <v>0.42487237037338699</v>
      </c>
      <c r="U3">
        <v>0.16177460150329401</v>
      </c>
      <c r="V3">
        <v>0.65690112772740294</v>
      </c>
      <c r="W3">
        <v>0.103046511258406</v>
      </c>
      <c r="X3">
        <v>0.40651969276037497</v>
      </c>
      <c r="Y3">
        <v>0.25074522548755501</v>
      </c>
      <c r="Z3">
        <v>0.455011180507369</v>
      </c>
      <c r="AA3">
        <v>0.52015319692205098</v>
      </c>
      <c r="AB3">
        <v>0.14095064054078901</v>
      </c>
      <c r="AC3">
        <v>1.45487030473712E-2</v>
      </c>
      <c r="AD3">
        <v>0.14832679989479999</v>
      </c>
      <c r="AE3">
        <v>-9.8575729007846502E-2</v>
      </c>
      <c r="AF3">
        <v>3.5886149575424901E-2</v>
      </c>
      <c r="AG3">
        <v>0.124025372198499</v>
      </c>
      <c r="AH3">
        <v>0.21134668480416099</v>
      </c>
      <c r="AI3">
        <v>0.66897122982170798</v>
      </c>
      <c r="AJ3">
        <v>6.1519556308723203E-2</v>
      </c>
      <c r="AK3">
        <v>0.43975458867875</v>
      </c>
      <c r="AL3">
        <v>0.35848044916405603</v>
      </c>
      <c r="AM3">
        <v>0.200518165596657</v>
      </c>
      <c r="AN3">
        <v>0.68648195141343105</v>
      </c>
      <c r="AO3">
        <v>0.12329643338891801</v>
      </c>
      <c r="AP3">
        <v>0.55672100756335496</v>
      </c>
      <c r="AQ3">
        <v>0.36169759920148697</v>
      </c>
      <c r="AR3">
        <v>0.541845542084466</v>
      </c>
      <c r="AS3">
        <v>0.411222011737161</v>
      </c>
      <c r="AT3">
        <v>0.22289136278909399</v>
      </c>
      <c r="AU3">
        <v>2.69865288528943E-2</v>
      </c>
      <c r="AV3">
        <v>0.35136983284469397</v>
      </c>
      <c r="AW3">
        <v>6.2430190411422396E-3</v>
      </c>
      <c r="AX3">
        <v>8.7526368045451705E-2</v>
      </c>
      <c r="AY3">
        <v>0.156066696406849</v>
      </c>
      <c r="AZ3">
        <v>0.111513565493325</v>
      </c>
      <c r="BA3">
        <v>-8.5240506761973898E-3</v>
      </c>
      <c r="BB3">
        <v>0.18265688388676499</v>
      </c>
      <c r="BC3">
        <v>0.47579688286127703</v>
      </c>
      <c r="BD3">
        <v>8.8263233640035799E-2</v>
      </c>
      <c r="BE3">
        <v>0.27245487497675602</v>
      </c>
      <c r="BF3">
        <v>5.3757287331549199E-2</v>
      </c>
      <c r="BG3">
        <v>8.2626931876110601E-2</v>
      </c>
      <c r="BH3">
        <v>0.133609403157292</v>
      </c>
      <c r="BI3">
        <v>0.36374083192733198</v>
      </c>
      <c r="BJ3">
        <v>0.21184347643204701</v>
      </c>
      <c r="BK3">
        <v>3.92051609338313E-2</v>
      </c>
      <c r="BL3">
        <v>1.0565080705219601E-2</v>
      </c>
      <c r="BM3">
        <v>5.03845820738398E-2</v>
      </c>
      <c r="BN3">
        <v>-9.6065162381299099E-2</v>
      </c>
      <c r="BO3">
        <v>4.2352462283463198E-2</v>
      </c>
      <c r="BP3">
        <v>-5.5241788676437698E-2</v>
      </c>
      <c r="BQ3">
        <v>7.2996284220523996E-2</v>
      </c>
      <c r="BR3">
        <v>0.35843519362065901</v>
      </c>
      <c r="BS3">
        <v>0.30302837158667301</v>
      </c>
      <c r="BT3">
        <v>0.16048406760794001</v>
      </c>
      <c r="BU3">
        <v>0.57709588830776404</v>
      </c>
      <c r="BV3">
        <v>0.133453949297899</v>
      </c>
      <c r="BW3">
        <v>0.50655065737114502</v>
      </c>
      <c r="BX3">
        <v>0.34388275649907302</v>
      </c>
      <c r="BY3">
        <v>0.45297645281565102</v>
      </c>
      <c r="BZ3">
        <v>0.36415704040441599</v>
      </c>
      <c r="CA3">
        <v>0.16198530508102099</v>
      </c>
      <c r="CB3">
        <v>-4.0287819137644697E-2</v>
      </c>
      <c r="CC3">
        <v>0.34782504101485301</v>
      </c>
      <c r="CD3">
        <v>5.3254785180591402E-2</v>
      </c>
      <c r="CE3">
        <v>0.10631940201348899</v>
      </c>
      <c r="CF3">
        <v>8.3248549782428696E-2</v>
      </c>
      <c r="CG3">
        <v>-0.100291635650692</v>
      </c>
      <c r="CH3">
        <v>6.7889099655373195E-2</v>
      </c>
      <c r="CI3">
        <v>0.23642410829879601</v>
      </c>
      <c r="CJ3">
        <v>9.8890974232162698E-2</v>
      </c>
      <c r="CK3">
        <v>0.18750550646934699</v>
      </c>
      <c r="CL3">
        <v>9.2789671990743006E-2</v>
      </c>
      <c r="CM3">
        <v>1.20987843871855E-2</v>
      </c>
      <c r="CN3">
        <v>3.3386045645822898E-2</v>
      </c>
      <c r="CO3">
        <v>2.81789160660059E-3</v>
      </c>
      <c r="CP3">
        <v>0.112068698824779</v>
      </c>
      <c r="CQ3">
        <v>0.136619915901117</v>
      </c>
      <c r="CR3">
        <v>-3.8218229997778103E-2</v>
      </c>
      <c r="CS3">
        <v>0.188981274065815</v>
      </c>
      <c r="CT3">
        <v>0.222911024875175</v>
      </c>
      <c r="CU3">
        <v>0.218119197519174</v>
      </c>
      <c r="CV3">
        <v>0.38113279520099902</v>
      </c>
      <c r="CW3">
        <v>0.167774332354795</v>
      </c>
      <c r="CX3">
        <v>0.48255863956830802</v>
      </c>
      <c r="CY3">
        <v>3.9352033171455601E-2</v>
      </c>
      <c r="CZ3">
        <v>0.28071269839076401</v>
      </c>
      <c r="DA3">
        <v>0.19017267142012001</v>
      </c>
      <c r="DB3">
        <v>0.41738293222398698</v>
      </c>
      <c r="DC3">
        <v>0.49808216227009899</v>
      </c>
      <c r="DD3">
        <v>0.17131243029537099</v>
      </c>
      <c r="DE3">
        <v>6.7572462506219802E-2</v>
      </c>
      <c r="DF3">
        <v>0.22396583381578999</v>
      </c>
      <c r="DG3">
        <v>-1.3957862470414299E-2</v>
      </c>
      <c r="DH3">
        <v>-2.04900679516597E-2</v>
      </c>
      <c r="DI3">
        <v>0.19938565745756301</v>
      </c>
      <c r="DJ3">
        <v>0.150478632240483</v>
      </c>
      <c r="DK3">
        <v>0.53593027137490601</v>
      </c>
      <c r="DL3">
        <v>1.48256609428146E-2</v>
      </c>
      <c r="DM3">
        <v>0.328198160738436</v>
      </c>
      <c r="DN3">
        <v>0.24474635437040099</v>
      </c>
      <c r="DO3">
        <v>0.51940948376835605</v>
      </c>
      <c r="DP3">
        <v>0.36638174565047998</v>
      </c>
      <c r="DQ3">
        <v>0.115689891469447</v>
      </c>
      <c r="DR3">
        <v>0.121159781955016</v>
      </c>
      <c r="DS3">
        <v>0.126171936370125</v>
      </c>
      <c r="DT3">
        <v>-5.2967874923001597E-2</v>
      </c>
      <c r="DU3">
        <v>4.10793183625957E-2</v>
      </c>
      <c r="DV3">
        <v>3.51305873914734E-2</v>
      </c>
      <c r="DW3">
        <v>0.224150680867749</v>
      </c>
      <c r="DX3">
        <v>9.9223243479801396E-2</v>
      </c>
      <c r="DY3">
        <v>0.219279426883009</v>
      </c>
      <c r="DZ3">
        <v>0.12943305860534099</v>
      </c>
      <c r="EA3">
        <v>0.19130467322095601</v>
      </c>
      <c r="EB3">
        <v>0.14059016781606801</v>
      </c>
      <c r="EC3">
        <v>0.164460108562173</v>
      </c>
      <c r="ED3">
        <v>-1.6202005090574601E-3</v>
      </c>
      <c r="EE3">
        <v>0.113254177033678</v>
      </c>
      <c r="EF3">
        <v>4.2054716405703997E-2</v>
      </c>
      <c r="EG3">
        <v>9.7212241245577202E-2</v>
      </c>
      <c r="EH3">
        <v>0.19694776318020399</v>
      </c>
      <c r="EI3">
        <v>6.22441219431107E-2</v>
      </c>
      <c r="EJ3">
        <v>0.459163658429597</v>
      </c>
      <c r="EK3">
        <v>0.35545536757294199</v>
      </c>
      <c r="EL3">
        <v>0.59413906838734598</v>
      </c>
      <c r="EM3">
        <v>0.47315268611432398</v>
      </c>
      <c r="EN3">
        <v>0.15996299035368</v>
      </c>
      <c r="EO3">
        <v>7.8475315635200396E-2</v>
      </c>
      <c r="EP3">
        <v>0.25706988655755902</v>
      </c>
      <c r="EQ3">
        <v>2.33472694201362E-2</v>
      </c>
      <c r="ER3">
        <v>9.4808788627232105E-2</v>
      </c>
      <c r="ES3">
        <v>0.147907130675901</v>
      </c>
      <c r="ET3">
        <v>0.16738923272086001</v>
      </c>
      <c r="EU3">
        <v>1.9391595488464201E-2</v>
      </c>
      <c r="EV3">
        <v>0.104328798644133</v>
      </c>
      <c r="EW3">
        <v>0.124788518362179</v>
      </c>
      <c r="EX3">
        <v>0.25985895075672</v>
      </c>
      <c r="EY3">
        <v>0.107529422379989</v>
      </c>
      <c r="EZ3">
        <v>0.147072486852726</v>
      </c>
      <c r="FA3">
        <v>0.25530512530189498</v>
      </c>
      <c r="FB3">
        <v>0.31460371513906299</v>
      </c>
      <c r="FC3">
        <v>0.17325864962901799</v>
      </c>
      <c r="FD3">
        <v>0.43947765863070198</v>
      </c>
      <c r="FE3">
        <v>0.441911824485339</v>
      </c>
      <c r="FF3">
        <v>0.292938428965274</v>
      </c>
      <c r="FG3">
        <v>0.33126139039226299</v>
      </c>
      <c r="FH3">
        <v>8.0650731445498794E-2</v>
      </c>
      <c r="FI3">
        <v>0.47506214912856698</v>
      </c>
      <c r="FJ3">
        <v>6.0868384400738398E-2</v>
      </c>
      <c r="FK3">
        <v>1.7705691836401301E-2</v>
      </c>
      <c r="FL3">
        <v>0.10257552491993099</v>
      </c>
      <c r="FM3">
        <v>0.365022956020291</v>
      </c>
      <c r="FN3">
        <v>0.18419359240972299</v>
      </c>
      <c r="FO3">
        <v>0.256932722808905</v>
      </c>
      <c r="FP3">
        <v>8.5041897284636198E-3</v>
      </c>
      <c r="FQ3">
        <v>0.38484721496021401</v>
      </c>
      <c r="FR3">
        <v>-0.101855043773437</v>
      </c>
      <c r="FS3">
        <v>-9.8885780716937099E-2</v>
      </c>
      <c r="FT3">
        <v>5.8325528185960998E-2</v>
      </c>
      <c r="FU3">
        <v>0.48700871403213197</v>
      </c>
      <c r="FV3">
        <v>0.14834832750388599</v>
      </c>
      <c r="FW3">
        <v>5.9450223120460999E-2</v>
      </c>
      <c r="FX3">
        <v>0.310529094586181</v>
      </c>
      <c r="FY3">
        <v>-6.3177050404945303E-3</v>
      </c>
      <c r="FZ3">
        <v>-9.4466126499368995E-3</v>
      </c>
      <c r="GA3">
        <v>0.10491383617022799</v>
      </c>
      <c r="GB3">
        <v>0.15432930336796499</v>
      </c>
      <c r="GC3">
        <v>0.15235365788494401</v>
      </c>
      <c r="GD3">
        <v>0.15869602380008699</v>
      </c>
      <c r="GE3">
        <v>-3.68343064963026E-2</v>
      </c>
      <c r="GF3">
        <v>2.4147791335633801E-3</v>
      </c>
      <c r="GG3">
        <v>0.19329863299486</v>
      </c>
      <c r="GH3">
        <v>0.195934714507699</v>
      </c>
      <c r="GI3">
        <v>0.29270493251007401</v>
      </c>
      <c r="GJ3">
        <v>5.7188202268319097E-2</v>
      </c>
      <c r="GK3">
        <v>3.93246934306914E-3</v>
      </c>
      <c r="GL3">
        <v>0.16409668754017601</v>
      </c>
      <c r="GM3">
        <v>0.15715356604007599</v>
      </c>
      <c r="GN3">
        <v>9.9430149781165503E-2</v>
      </c>
      <c r="GO3">
        <v>0.114351658933287</v>
      </c>
      <c r="GP3">
        <v>0.27316674326079898</v>
      </c>
      <c r="GQ3">
        <v>5.8639314310916998E-2</v>
      </c>
      <c r="GR3">
        <v>9.3946663012412598E-2</v>
      </c>
      <c r="GS3">
        <v>6.3616080484706003E-2</v>
      </c>
      <c r="GT3">
        <v>0.226728060467426</v>
      </c>
      <c r="GU3">
        <v>0.17381908849300401</v>
      </c>
      <c r="GV3">
        <v>0.178422522722087</v>
      </c>
    </row>
    <row r="4" spans="1:214" x14ac:dyDescent="0.25">
      <c r="A4" s="36" t="s">
        <v>610</v>
      </c>
      <c r="B4" s="36">
        <v>62</v>
      </c>
      <c r="C4" s="36">
        <v>2020</v>
      </c>
      <c r="D4" s="36" t="s">
        <v>585</v>
      </c>
      <c r="E4" s="36" t="s">
        <v>373</v>
      </c>
      <c r="F4" s="36" t="s">
        <v>362</v>
      </c>
      <c r="G4" s="36">
        <v>1</v>
      </c>
      <c r="H4" s="36" t="s">
        <v>612</v>
      </c>
      <c r="I4" s="36">
        <v>162</v>
      </c>
      <c r="J4" s="41">
        <f>91/162*100</f>
        <v>56.172839506172842</v>
      </c>
      <c r="K4" s="41">
        <v>21.52</v>
      </c>
      <c r="L4" s="36">
        <v>0</v>
      </c>
      <c r="M4" s="36">
        <v>5</v>
      </c>
      <c r="N4" s="36" t="s">
        <v>631</v>
      </c>
      <c r="O4">
        <v>0.70383409799999996</v>
      </c>
      <c r="P4">
        <v>0.27834820900000001</v>
      </c>
      <c r="Q4">
        <v>0.38617098100000002</v>
      </c>
      <c r="R4">
        <v>-0.20936838399999999</v>
      </c>
      <c r="S4">
        <v>0.61804283500000001</v>
      </c>
      <c r="T4">
        <v>0.28000181699999999</v>
      </c>
      <c r="U4">
        <v>8.1396215999999993E-2</v>
      </c>
      <c r="V4">
        <v>0.597717057</v>
      </c>
      <c r="W4">
        <v>0.118240121</v>
      </c>
      <c r="X4">
        <v>0.51225952799999996</v>
      </c>
      <c r="Y4">
        <v>0.341420636</v>
      </c>
      <c r="Z4">
        <v>0.50396028000000004</v>
      </c>
      <c r="AA4">
        <v>0.47826439100000001</v>
      </c>
      <c r="AB4">
        <v>0.12559063500000001</v>
      </c>
      <c r="AC4">
        <v>0.16278837600000001</v>
      </c>
      <c r="AD4">
        <v>0.39758548199999999</v>
      </c>
      <c r="AE4">
        <v>6.6863263000000006E-2</v>
      </c>
      <c r="AF4">
        <v>-0.13930550799999999</v>
      </c>
      <c r="AG4">
        <v>0.171864086</v>
      </c>
      <c r="AH4">
        <v>0.225738259</v>
      </c>
      <c r="AI4">
        <v>0.62468822899999998</v>
      </c>
      <c r="AJ4">
        <v>-0.202834348</v>
      </c>
      <c r="AK4">
        <v>0.509533872</v>
      </c>
      <c r="AL4">
        <v>0.23476208200000001</v>
      </c>
      <c r="AM4">
        <v>3.3203560999999999E-2</v>
      </c>
      <c r="AN4">
        <v>0.63660235600000004</v>
      </c>
      <c r="AO4">
        <v>4.1578588999999999E-2</v>
      </c>
      <c r="AP4">
        <v>0.50179806199999999</v>
      </c>
      <c r="AQ4">
        <v>0.34411578199999998</v>
      </c>
      <c r="AR4">
        <v>0.44153277899999999</v>
      </c>
      <c r="AS4">
        <v>0.45582326699999998</v>
      </c>
      <c r="AT4">
        <v>0.21001246500000001</v>
      </c>
      <c r="AU4">
        <v>0.175687858</v>
      </c>
      <c r="AV4">
        <v>0.445525265</v>
      </c>
      <c r="AW4">
        <v>8.0756566000000002E-2</v>
      </c>
      <c r="AX4">
        <v>-6.9603591000000006E-2</v>
      </c>
      <c r="AY4">
        <v>0.116049901</v>
      </c>
      <c r="AZ4">
        <v>7.4457018E-2</v>
      </c>
      <c r="BA4">
        <v>-0.100686629</v>
      </c>
      <c r="BB4">
        <v>0.13261529999999999</v>
      </c>
      <c r="BC4">
        <v>0.479556908</v>
      </c>
      <c r="BD4">
        <v>7.6253370000000001E-2</v>
      </c>
      <c r="BE4">
        <v>0.30930118000000001</v>
      </c>
      <c r="BF4">
        <v>5.7160438000000001E-2</v>
      </c>
      <c r="BG4">
        <v>0.16911066799999999</v>
      </c>
      <c r="BH4">
        <v>0.29128879800000002</v>
      </c>
      <c r="BI4">
        <v>0.416601473</v>
      </c>
      <c r="BJ4">
        <v>0.32278721999999999</v>
      </c>
      <c r="BK4">
        <v>5.6540036000000002E-2</v>
      </c>
      <c r="BL4">
        <v>0.18785634200000001</v>
      </c>
      <c r="BM4">
        <v>0.198138078</v>
      </c>
      <c r="BN4">
        <v>9.3667571000000005E-2</v>
      </c>
      <c r="BO4">
        <v>-0.17958402600000001</v>
      </c>
      <c r="BP4">
        <v>0.20277478900000001</v>
      </c>
      <c r="BQ4">
        <v>-0.15535738900000001</v>
      </c>
      <c r="BR4">
        <v>0.33198826100000001</v>
      </c>
      <c r="BS4">
        <v>7.3568069E-2</v>
      </c>
      <c r="BT4">
        <v>-9.6271269999999992E-3</v>
      </c>
      <c r="BU4">
        <v>0.46692450200000002</v>
      </c>
      <c r="BV4">
        <v>4.3799919999999999E-2</v>
      </c>
      <c r="BW4">
        <v>0.49974498299999998</v>
      </c>
      <c r="BX4">
        <v>0.26524934300000003</v>
      </c>
      <c r="BY4">
        <v>0.31285845400000001</v>
      </c>
      <c r="BZ4">
        <v>0.22600679100000001</v>
      </c>
      <c r="CA4">
        <v>0.19131657399999999</v>
      </c>
      <c r="CB4">
        <v>0.12583946900000001</v>
      </c>
      <c r="CC4">
        <v>0.42591051000000002</v>
      </c>
      <c r="CD4">
        <v>3.3894292999999999E-2</v>
      </c>
      <c r="CE4">
        <v>-1.0040815999999999E-2</v>
      </c>
      <c r="CF4">
        <v>-1.086294E-2</v>
      </c>
      <c r="CG4">
        <v>-0.21940294499999999</v>
      </c>
      <c r="CH4">
        <v>-0.15099686600000001</v>
      </c>
      <c r="CI4">
        <v>8.6312339999999998E-3</v>
      </c>
      <c r="CJ4">
        <v>-0.16342630999999999</v>
      </c>
      <c r="CK4">
        <v>-0.12688147999999999</v>
      </c>
      <c r="CL4">
        <v>-0.122111157</v>
      </c>
      <c r="CM4">
        <v>-0.26125405899999998</v>
      </c>
      <c r="CN4">
        <v>-8.5628475999999995E-2</v>
      </c>
      <c r="CO4">
        <v>-7.1419437000000002E-2</v>
      </c>
      <c r="CP4">
        <v>-0.160674125</v>
      </c>
      <c r="CQ4">
        <v>-0.10265363600000001</v>
      </c>
      <c r="CR4">
        <v>-0.14918674500000001</v>
      </c>
      <c r="CS4">
        <v>0.133403196</v>
      </c>
      <c r="CT4">
        <v>0.192937517</v>
      </c>
      <c r="CU4">
        <v>-7.5544654000000003E-2</v>
      </c>
      <c r="CV4">
        <v>0.31321063199999999</v>
      </c>
      <c r="CW4">
        <v>0.14835654000000001</v>
      </c>
      <c r="CX4">
        <v>0.54393781600000002</v>
      </c>
      <c r="CY4">
        <v>0.107697232</v>
      </c>
      <c r="CZ4">
        <v>0.48794890699999999</v>
      </c>
      <c r="DA4">
        <v>0.39025475999999998</v>
      </c>
      <c r="DB4">
        <v>0.46872291599999999</v>
      </c>
      <c r="DC4">
        <v>0.479321473</v>
      </c>
      <c r="DD4">
        <v>0.19024086500000001</v>
      </c>
      <c r="DE4">
        <v>0.31004662399999999</v>
      </c>
      <c r="DF4">
        <v>0.29295015699999999</v>
      </c>
      <c r="DG4">
        <v>-2.6111895999999999E-2</v>
      </c>
      <c r="DH4">
        <v>-8.7456990999999998E-2</v>
      </c>
      <c r="DI4">
        <v>0.232905369</v>
      </c>
      <c r="DJ4">
        <v>0.122091643</v>
      </c>
      <c r="DK4">
        <v>0.43283104100000003</v>
      </c>
      <c r="DL4">
        <v>6.0110058000000001E-2</v>
      </c>
      <c r="DM4">
        <v>0.25671669899999999</v>
      </c>
      <c r="DN4">
        <v>0.21782036699999999</v>
      </c>
      <c r="DO4">
        <v>0.37907638500000002</v>
      </c>
      <c r="DP4">
        <v>0.39113675399999998</v>
      </c>
      <c r="DQ4">
        <v>0.13637618900000001</v>
      </c>
      <c r="DR4">
        <v>0.28835579300000003</v>
      </c>
      <c r="DS4">
        <v>0.192678988</v>
      </c>
      <c r="DT4">
        <v>2.6919760000000001E-2</v>
      </c>
      <c r="DU4">
        <v>-0.15832338900000001</v>
      </c>
      <c r="DV4">
        <v>0.161964892</v>
      </c>
      <c r="DW4">
        <v>7.0787959999999997E-2</v>
      </c>
      <c r="DX4">
        <v>9.2747050999999997E-2</v>
      </c>
      <c r="DY4">
        <v>9.3499843999999999E-2</v>
      </c>
      <c r="DZ4">
        <v>0.18236844999999999</v>
      </c>
      <c r="EA4">
        <v>6.6879264999999993E-2</v>
      </c>
      <c r="EB4">
        <v>0.22852905700000001</v>
      </c>
      <c r="EC4">
        <v>0.184501108</v>
      </c>
      <c r="ED4">
        <v>0.263888758</v>
      </c>
      <c r="EE4">
        <v>0.13148154400000001</v>
      </c>
      <c r="EF4">
        <v>3.0965428999999999E-2</v>
      </c>
      <c r="EG4">
        <v>3.1429680000000002E-2</v>
      </c>
      <c r="EH4">
        <v>0.234342467</v>
      </c>
      <c r="EI4">
        <v>2.1996365E-2</v>
      </c>
      <c r="EJ4">
        <v>0.61625711599999999</v>
      </c>
      <c r="EK4">
        <v>0.42847930899999997</v>
      </c>
      <c r="EL4">
        <v>0.60628097400000003</v>
      </c>
      <c r="EM4">
        <v>0.50476995199999997</v>
      </c>
      <c r="EN4">
        <v>0.15943816699999999</v>
      </c>
      <c r="EO4">
        <v>0.24556916200000001</v>
      </c>
      <c r="EP4">
        <v>0.38989992899999998</v>
      </c>
      <c r="EQ4">
        <v>5.297789E-2</v>
      </c>
      <c r="ER4">
        <v>-7.3186406999999995E-2</v>
      </c>
      <c r="ES4">
        <v>0.23492603100000001</v>
      </c>
      <c r="ET4">
        <v>7.5739599000000005E-2</v>
      </c>
      <c r="EU4">
        <v>0.17577472099999999</v>
      </c>
      <c r="EV4">
        <v>5.5480294999999999E-2</v>
      </c>
      <c r="EW4">
        <v>8.5546532999999994E-2</v>
      </c>
      <c r="EX4">
        <v>9.8068669999999997E-2</v>
      </c>
      <c r="EY4">
        <v>-8.1305769E-2</v>
      </c>
      <c r="EZ4">
        <v>0.12059874299999999</v>
      </c>
      <c r="FA4">
        <v>0.30594483</v>
      </c>
      <c r="FB4">
        <v>0.15006344599999999</v>
      </c>
      <c r="FC4">
        <v>9.2354086000000002E-2</v>
      </c>
      <c r="FD4">
        <v>0.43047326299999999</v>
      </c>
      <c r="FE4">
        <v>0.57433475499999997</v>
      </c>
      <c r="FF4">
        <v>0.388477666</v>
      </c>
      <c r="FG4">
        <v>0.298743488</v>
      </c>
      <c r="FH4">
        <v>0.28458554899999999</v>
      </c>
      <c r="FI4">
        <v>0.53743079199999999</v>
      </c>
      <c r="FJ4">
        <v>0.145315585</v>
      </c>
      <c r="FK4">
        <v>-3.2989240000000003E-2</v>
      </c>
      <c r="FL4">
        <v>0.14948911600000001</v>
      </c>
      <c r="FM4">
        <v>0.48471958300000001</v>
      </c>
      <c r="FN4">
        <v>0.37444065599999998</v>
      </c>
      <c r="FO4">
        <v>0.28632776399999998</v>
      </c>
      <c r="FP4">
        <v>0.141702354</v>
      </c>
      <c r="FQ4">
        <v>0.51252328000000003</v>
      </c>
      <c r="FR4">
        <v>5.0473068000000003E-2</v>
      </c>
      <c r="FS4">
        <v>-4.6070424999999998E-2</v>
      </c>
      <c r="FT4">
        <v>0.22352482800000001</v>
      </c>
      <c r="FU4">
        <v>0.55372339900000001</v>
      </c>
      <c r="FV4">
        <v>0.21117425200000001</v>
      </c>
      <c r="FW4">
        <v>0.25305758</v>
      </c>
      <c r="FX4">
        <v>0.43743796200000001</v>
      </c>
      <c r="FY4">
        <v>0.16733001</v>
      </c>
      <c r="FZ4">
        <v>3.3847509999999997E-2</v>
      </c>
      <c r="GA4">
        <v>0.23626555900000001</v>
      </c>
      <c r="GB4">
        <v>0.26220226699999999</v>
      </c>
      <c r="GC4">
        <v>0.321285867</v>
      </c>
      <c r="GD4">
        <v>0.402289273</v>
      </c>
      <c r="GE4">
        <v>4.4324603999999997E-2</v>
      </c>
      <c r="GF4">
        <v>4.5929754000000003E-2</v>
      </c>
      <c r="GG4">
        <v>0.32947515199999999</v>
      </c>
      <c r="GH4">
        <v>0.414502551</v>
      </c>
      <c r="GI4">
        <v>0.36545594599999998</v>
      </c>
      <c r="GJ4">
        <v>1.9300039000000001E-2</v>
      </c>
      <c r="GK4">
        <v>0.192649294</v>
      </c>
      <c r="GL4">
        <v>-1.8293160999999999E-2</v>
      </c>
      <c r="GM4">
        <v>0.25492111699999997</v>
      </c>
      <c r="GN4">
        <v>7.0091596000000006E-2</v>
      </c>
      <c r="GO4">
        <v>0.109481411</v>
      </c>
      <c r="GP4">
        <v>0.155556262</v>
      </c>
      <c r="GQ4">
        <v>0.13673039200000001</v>
      </c>
      <c r="GR4">
        <v>-1.7248049000000001E-2</v>
      </c>
      <c r="GS4">
        <v>0.110987695</v>
      </c>
      <c r="GT4">
        <v>0.32157771099999999</v>
      </c>
      <c r="GU4">
        <v>9.9568480000000001E-2</v>
      </c>
      <c r="GV4">
        <v>-0.20460136600000001</v>
      </c>
    </row>
    <row r="5" spans="1:214" x14ac:dyDescent="0.25">
      <c r="A5" s="37"/>
      <c r="B5" s="37"/>
      <c r="C5" s="37"/>
      <c r="D5" s="37"/>
      <c r="E5" s="37"/>
      <c r="F5" s="37"/>
      <c r="G5" s="37"/>
      <c r="H5" s="37"/>
      <c r="I5" s="37"/>
      <c r="J5" s="38"/>
      <c r="K5" s="37"/>
      <c r="L5" s="37"/>
      <c r="M5" s="37"/>
      <c r="N5" s="37"/>
    </row>
    <row r="6" spans="1:214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214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214" x14ac:dyDescent="0.25">
      <c r="A8" s="39"/>
      <c r="B8" s="39"/>
      <c r="C8" s="39"/>
      <c r="D8" s="39"/>
      <c r="E8" s="39"/>
      <c r="F8" s="39"/>
      <c r="G8" s="39"/>
      <c r="H8" s="37"/>
      <c r="I8" s="37"/>
      <c r="J8" s="37"/>
      <c r="K8" s="37"/>
      <c r="L8" s="37"/>
      <c r="M8" s="37"/>
      <c r="N8" s="37"/>
    </row>
  </sheetData>
  <phoneticPr fontId="5" type="noConversion"/>
  <pageMargins left="0.7" right="0.7" top="0.78740157499999996" bottom="0.78740157499999996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Description</vt:lpstr>
      <vt:lpstr>Factor Loadings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</dc:creator>
  <cp:lastModifiedBy>US</cp:lastModifiedBy>
  <cp:revision>115</cp:revision>
  <cp:lastPrinted>2018-01-29T10:30:52Z</cp:lastPrinted>
  <dcterms:created xsi:type="dcterms:W3CDTF">2009-04-16T11:32:48Z</dcterms:created>
  <dcterms:modified xsi:type="dcterms:W3CDTF">2021-03-29T13:30:07Z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